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paige_sutton11_okstate_edu/Documents/Sports Science Portfolio/Dynamic HTML/"/>
    </mc:Choice>
  </mc:AlternateContent>
  <xr:revisionPtr revIDLastSave="137" documentId="13_ncr:1_{F2ECF665-E840-47F8-85B7-D30BFC2B1F9F}" xr6:coauthVersionLast="47" xr6:coauthVersionMax="47" xr10:uidLastSave="{1F569840-C7A5-4E81-BD51-ACB13E221E0A}"/>
  <bookViews>
    <workbookView xWindow="-108" yWindow="-108" windowWidth="23256" windowHeight="13896" activeTab="1" xr2:uid="{F6249ACF-527B-4FE3-ACD6-EC982B4F762E}"/>
  </bookViews>
  <sheets>
    <sheet name="Monthly" sheetId="1" r:id="rId1"/>
    <sheet name="Weekly" sheetId="2" r:id="rId2"/>
    <sheet name="Schedu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P84" i="2" l="1"/>
  <c r="AP85" i="2"/>
  <c r="AP86" i="2"/>
  <c r="AP87" i="2"/>
  <c r="AP83" i="2"/>
  <c r="AP82" i="2"/>
  <c r="AP78" i="2"/>
  <c r="AP79" i="2"/>
  <c r="AP80" i="2"/>
  <c r="AP81" i="2"/>
  <c r="AP77" i="2"/>
  <c r="AP76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28" i="2"/>
  <c r="AP25" i="2"/>
  <c r="AP26" i="2"/>
  <c r="AP27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U39" i="2"/>
  <c r="AU40" i="2"/>
  <c r="AU41" i="2"/>
  <c r="AU42" i="2"/>
  <c r="AU43" i="2"/>
  <c r="AU44" i="2"/>
  <c r="AU45" i="2"/>
  <c r="AU46" i="2"/>
  <c r="AU47" i="2"/>
  <c r="AT39" i="2"/>
  <c r="AT40" i="2"/>
  <c r="AT41" i="2"/>
  <c r="AT42" i="2"/>
  <c r="AT43" i="2"/>
  <c r="AT44" i="2"/>
  <c r="AT45" i="2"/>
  <c r="AT46" i="2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11" i="3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2" i="2"/>
  <c r="E3" i="3"/>
  <c r="E4" i="3"/>
  <c r="E5" i="3"/>
  <c r="E6" i="3"/>
  <c r="E7" i="3"/>
  <c r="E8" i="3"/>
  <c r="E9" i="3"/>
  <c r="E10" i="3"/>
  <c r="E12" i="3"/>
  <c r="E13" i="3"/>
  <c r="E14" i="3"/>
  <c r="E15" i="3"/>
  <c r="E16" i="3"/>
  <c r="E17" i="3"/>
  <c r="E2" i="3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S59" i="2"/>
  <c r="AT2" i="2"/>
  <c r="AP21" i="2"/>
  <c r="AP23" i="2"/>
  <c r="AP19" i="2"/>
  <c r="AP20" i="2"/>
  <c r="AP22" i="2"/>
  <c r="AP16" i="2"/>
  <c r="AP4" i="2"/>
  <c r="AP5" i="2"/>
  <c r="AP10" i="2"/>
  <c r="AP7" i="2"/>
  <c r="AP9" i="2"/>
  <c r="AP12" i="2"/>
  <c r="AP8" i="2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2" i="2"/>
  <c r="AP3" i="2"/>
  <c r="AP6" i="2"/>
  <c r="AP11" i="2"/>
  <c r="AP13" i="2"/>
  <c r="AP14" i="2"/>
  <c r="AP15" i="2"/>
  <c r="AP17" i="2"/>
  <c r="AP24" i="2"/>
  <c r="AP2" i="2"/>
</calcChain>
</file>

<file path=xl/sharedStrings.xml><?xml version="1.0" encoding="utf-8"?>
<sst xmlns="http://schemas.openxmlformats.org/spreadsheetml/2006/main" count="345" uniqueCount="112">
  <si>
    <t>Date</t>
  </si>
  <si>
    <t>Name</t>
  </si>
  <si>
    <t>IR_Throw</t>
  </si>
  <si>
    <t>IR_NonThrow</t>
  </si>
  <si>
    <t>IR_Diff</t>
  </si>
  <si>
    <t>ER_Throw</t>
  </si>
  <si>
    <t>ER_NonThrow</t>
  </si>
  <si>
    <t>ER_Diff</t>
  </si>
  <si>
    <t>Arc_Throw</t>
  </si>
  <si>
    <t>Arc_NonThrow</t>
  </si>
  <si>
    <t>Arc_Diff</t>
  </si>
  <si>
    <t>Flex_Throw</t>
  </si>
  <si>
    <t>Flex_NonThrow</t>
  </si>
  <si>
    <t>Flex_Diff</t>
  </si>
  <si>
    <t>Ext_Throw</t>
  </si>
  <si>
    <t>Ext_NonThrow</t>
  </si>
  <si>
    <t>Ext_Diff</t>
  </si>
  <si>
    <t>ERxPron_Throw</t>
  </si>
  <si>
    <t>ERPron_NonThrow</t>
  </si>
  <si>
    <t>ERProne_Diff</t>
  </si>
  <si>
    <t>HorzAdd_Throw</t>
  </si>
  <si>
    <t>HorzAdd_NonThrow</t>
  </si>
  <si>
    <t>HorzAdd_Diff</t>
  </si>
  <si>
    <t>CervRot_L</t>
  </si>
  <si>
    <t>CervRot_R</t>
  </si>
  <si>
    <t>CervRot_Diff</t>
  </si>
  <si>
    <t>ThorRot_L</t>
  </si>
  <si>
    <t>ThorRot_R</t>
  </si>
  <si>
    <t>ThorRot_Diff</t>
  </si>
  <si>
    <t>HipIR_L</t>
  </si>
  <si>
    <t>HipIR_R</t>
  </si>
  <si>
    <t>HipIR_Diff</t>
  </si>
  <si>
    <t>HipER_L</t>
  </si>
  <si>
    <t>HipER_R</t>
  </si>
  <si>
    <t>HipER_Diff</t>
  </si>
  <si>
    <t>HipArc_L</t>
  </si>
  <si>
    <t>HipArc_R</t>
  </si>
  <si>
    <t>HipArc_Diff</t>
  </si>
  <si>
    <t>Ankle_L</t>
  </si>
  <si>
    <t>Ankle_R</t>
  </si>
  <si>
    <t>Ankle_Diff</t>
  </si>
  <si>
    <t>Grip_L1</t>
  </si>
  <si>
    <t>Grip_R1</t>
  </si>
  <si>
    <t>Grip_L2</t>
  </si>
  <si>
    <t>Grip_R2</t>
  </si>
  <si>
    <t xml:space="preserve">ER_L_1 </t>
  </si>
  <si>
    <t>ER_R_1</t>
  </si>
  <si>
    <t>ER_L_2</t>
  </si>
  <si>
    <t>ER_R_2</t>
  </si>
  <si>
    <t>IR_L_1</t>
  </si>
  <si>
    <t>IR_R_1</t>
  </si>
  <si>
    <t>IR_L_2</t>
  </si>
  <si>
    <t>IR_R_2</t>
  </si>
  <si>
    <t xml:space="preserve"> </t>
  </si>
  <si>
    <t>Avg_Velo</t>
  </si>
  <si>
    <t>Max_Velo</t>
  </si>
  <si>
    <t>Disp</t>
  </si>
  <si>
    <t>L_Shoulder_Flexion</t>
  </si>
  <si>
    <t xml:space="preserve">L_Shoulder_Extension </t>
  </si>
  <si>
    <t>L_Shoulder_IR</t>
  </si>
  <si>
    <t>L_Shoulder_ER</t>
  </si>
  <si>
    <t>R_Shoulder_Flexion</t>
  </si>
  <si>
    <t>R_Shoulder_Extension</t>
  </si>
  <si>
    <t>R_Shoulder_IR</t>
  </si>
  <si>
    <t>R_Shoulder_ER</t>
  </si>
  <si>
    <t>Cervical_Flexion</t>
  </si>
  <si>
    <t>Cervical_Extension</t>
  </si>
  <si>
    <t>L_Cervical_Rotation</t>
  </si>
  <si>
    <t>R_Cervical_Rotation</t>
  </si>
  <si>
    <t>Toe_Touch</t>
  </si>
  <si>
    <t>Reach_Back</t>
  </si>
  <si>
    <t>L_SL_Balance_Variability</t>
  </si>
  <si>
    <t xml:space="preserve">R_SL_Balance_Variability </t>
  </si>
  <si>
    <t>Squat_Ankle_Dorsi</t>
  </si>
  <si>
    <t>L_Apley_OH</t>
  </si>
  <si>
    <t>L_Apley_UH</t>
  </si>
  <si>
    <t>R_Apley_OH</t>
  </si>
  <si>
    <t>R_Apley_UH</t>
  </si>
  <si>
    <t>L_Torso_Rotation</t>
  </si>
  <si>
    <t>R_Torso_Rotation</t>
  </si>
  <si>
    <t>CMJ_1</t>
  </si>
  <si>
    <t>RSI_1</t>
  </si>
  <si>
    <t>CMJ_Contraction_Time_1</t>
  </si>
  <si>
    <t>CMJ_2</t>
  </si>
  <si>
    <t>RSI_2</t>
  </si>
  <si>
    <t>CMJ_Contraction_Time_2</t>
  </si>
  <si>
    <t>Visit</t>
  </si>
  <si>
    <t>R1</t>
  </si>
  <si>
    <t>S3</t>
  </si>
  <si>
    <t>R2</t>
  </si>
  <si>
    <t>S2</t>
  </si>
  <si>
    <t>S1</t>
  </si>
  <si>
    <t>Pitches</t>
  </si>
  <si>
    <t>IVB</t>
  </si>
  <si>
    <t>HB</t>
  </si>
  <si>
    <t>L_Arc</t>
  </si>
  <si>
    <t>R_Arc</t>
  </si>
  <si>
    <t>ER_IR_Ratio</t>
  </si>
  <si>
    <t>S2/3</t>
  </si>
  <si>
    <t>Athlete 1</t>
  </si>
  <si>
    <t>Athlete 2</t>
  </si>
  <si>
    <t>Athlete 3</t>
  </si>
  <si>
    <t>Athlete 4</t>
  </si>
  <si>
    <t>Athlete 5</t>
  </si>
  <si>
    <t>Athlete 6</t>
  </si>
  <si>
    <t>Athlete 7</t>
  </si>
  <si>
    <t>Athlete 8</t>
  </si>
  <si>
    <t>Athlete 9</t>
  </si>
  <si>
    <t>Athlete 10</t>
  </si>
  <si>
    <t>Athlete 11</t>
  </si>
  <si>
    <t>Athlete 12</t>
  </si>
  <si>
    <t>Athlete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</si>
</sst>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1F2A-9A3D-4C9F-8DC5-886E4F9A8AFF}">
  <dimension ref="A1:AR28"/>
  <sheetViews>
    <sheetView workbookViewId="0">
      <selection activeCell="C30" sqref="C30"/>
    </sheetView>
  </sheetViews>
  <sheetFormatPr defaultRowHeight="14.4" x14ac:dyDescent="0.3"/>
  <cols>
    <col min="1" max="1" width="9.33203125" style="1" bestFit="1" customWidth="1"/>
    <col min="2" max="2" width="11.77734375" bestFit="1" customWidth="1"/>
  </cols>
  <sheetData>
    <row r="1" spans="1:44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4" x14ac:dyDescent="0.3">
      <c r="A2" s="1">
        <v>46143</v>
      </c>
      <c r="B2" t="s">
        <v>110</v>
      </c>
      <c r="C2">
        <v>40</v>
      </c>
      <c r="D2">
        <v>48</v>
      </c>
      <c r="E2">
        <v>8</v>
      </c>
      <c r="F2">
        <v>142</v>
      </c>
      <c r="G2">
        <v>133.5</v>
      </c>
      <c r="H2">
        <v>8.5</v>
      </c>
      <c r="I2">
        <v>182</v>
      </c>
      <c r="J2">
        <v>181.5</v>
      </c>
      <c r="K2">
        <v>0.5</v>
      </c>
      <c r="L2">
        <v>156.5</v>
      </c>
      <c r="M2">
        <v>147.5</v>
      </c>
      <c r="N2">
        <v>9</v>
      </c>
      <c r="O2">
        <v>49</v>
      </c>
      <c r="P2">
        <v>48.5</v>
      </c>
      <c r="Q2">
        <v>0.5</v>
      </c>
      <c r="R2">
        <v>133</v>
      </c>
      <c r="S2">
        <v>127.5</v>
      </c>
      <c r="T2">
        <v>5.5</v>
      </c>
      <c r="U2">
        <v>23</v>
      </c>
      <c r="V2">
        <v>22.5</v>
      </c>
      <c r="W2">
        <v>0.5</v>
      </c>
      <c r="X2">
        <v>87.5</v>
      </c>
      <c r="Y2">
        <v>90</v>
      </c>
      <c r="Z2">
        <v>2.5</v>
      </c>
      <c r="AA2">
        <v>77.5</v>
      </c>
      <c r="AB2">
        <v>79</v>
      </c>
      <c r="AC2">
        <v>1.5</v>
      </c>
      <c r="AD2">
        <v>36.5</v>
      </c>
      <c r="AE2">
        <v>38.5</v>
      </c>
      <c r="AF2">
        <v>2</v>
      </c>
      <c r="AG2">
        <v>35</v>
      </c>
      <c r="AH2">
        <v>26.5</v>
      </c>
      <c r="AI2">
        <v>8.5</v>
      </c>
      <c r="AJ2">
        <v>71.5</v>
      </c>
      <c r="AK2">
        <v>65</v>
      </c>
      <c r="AL2">
        <v>6.5</v>
      </c>
      <c r="AM2">
        <v>42.5</v>
      </c>
      <c r="AN2">
        <v>38.5</v>
      </c>
      <c r="AO2">
        <v>4</v>
      </c>
    </row>
    <row r="3" spans="1:44" x14ac:dyDescent="0.3">
      <c r="A3" s="1">
        <v>46143</v>
      </c>
      <c r="B3" t="s">
        <v>101</v>
      </c>
      <c r="C3">
        <v>47</v>
      </c>
      <c r="D3">
        <v>61</v>
      </c>
      <c r="E3">
        <v>14</v>
      </c>
      <c r="F3">
        <v>116.5</v>
      </c>
      <c r="G3">
        <v>118</v>
      </c>
      <c r="H3">
        <v>1.5</v>
      </c>
      <c r="I3">
        <v>163.5</v>
      </c>
      <c r="J3">
        <v>179</v>
      </c>
      <c r="K3">
        <v>15.5</v>
      </c>
      <c r="L3">
        <v>135.5</v>
      </c>
      <c r="M3">
        <v>139.5</v>
      </c>
      <c r="N3">
        <v>4</v>
      </c>
      <c r="O3">
        <v>40</v>
      </c>
      <c r="P3">
        <v>43</v>
      </c>
      <c r="Q3">
        <v>3</v>
      </c>
      <c r="R3">
        <v>112</v>
      </c>
      <c r="S3">
        <v>110</v>
      </c>
      <c r="T3">
        <v>2</v>
      </c>
      <c r="U3">
        <v>0</v>
      </c>
      <c r="V3">
        <v>14.5</v>
      </c>
      <c r="W3">
        <v>14.5</v>
      </c>
      <c r="X3">
        <v>79.5</v>
      </c>
      <c r="Y3">
        <v>83</v>
      </c>
      <c r="Z3">
        <v>3.5</v>
      </c>
      <c r="AA3">
        <v>69.5</v>
      </c>
      <c r="AB3">
        <v>57</v>
      </c>
      <c r="AC3">
        <v>12.5</v>
      </c>
      <c r="AD3">
        <v>38</v>
      </c>
      <c r="AE3">
        <v>30.5</v>
      </c>
      <c r="AF3">
        <v>7.5</v>
      </c>
      <c r="AG3">
        <v>29</v>
      </c>
      <c r="AH3">
        <v>31.5</v>
      </c>
      <c r="AI3">
        <v>2.5</v>
      </c>
      <c r="AJ3">
        <v>67</v>
      </c>
      <c r="AK3">
        <v>62</v>
      </c>
      <c r="AL3">
        <v>5</v>
      </c>
      <c r="AM3">
        <v>45</v>
      </c>
      <c r="AN3">
        <v>47.5</v>
      </c>
      <c r="AO3">
        <v>2.5</v>
      </c>
    </row>
    <row r="4" spans="1:44" x14ac:dyDescent="0.3">
      <c r="A4" s="1">
        <v>46143</v>
      </c>
      <c r="B4" t="s">
        <v>106</v>
      </c>
      <c r="C4">
        <v>31.5</v>
      </c>
      <c r="D4">
        <v>45.5</v>
      </c>
      <c r="E4">
        <v>14</v>
      </c>
      <c r="F4">
        <v>136</v>
      </c>
      <c r="G4">
        <v>107.5</v>
      </c>
      <c r="H4">
        <v>28.5</v>
      </c>
      <c r="I4">
        <v>167.5</v>
      </c>
      <c r="J4">
        <v>153</v>
      </c>
      <c r="K4">
        <v>14.5</v>
      </c>
      <c r="L4">
        <v>144.5</v>
      </c>
      <c r="M4">
        <v>141</v>
      </c>
      <c r="N4">
        <v>3.5</v>
      </c>
      <c r="O4">
        <v>47.5</v>
      </c>
      <c r="P4">
        <v>49.5</v>
      </c>
      <c r="Q4">
        <v>2</v>
      </c>
      <c r="R4">
        <v>122</v>
      </c>
      <c r="S4">
        <v>104</v>
      </c>
      <c r="T4">
        <v>18</v>
      </c>
      <c r="U4">
        <v>7.5</v>
      </c>
      <c r="V4">
        <v>13</v>
      </c>
      <c r="W4">
        <v>5.5</v>
      </c>
      <c r="X4">
        <v>85</v>
      </c>
      <c r="Y4">
        <v>87</v>
      </c>
      <c r="Z4">
        <v>2</v>
      </c>
      <c r="AA4">
        <v>65</v>
      </c>
      <c r="AB4">
        <v>57.5</v>
      </c>
      <c r="AC4">
        <v>7.5</v>
      </c>
      <c r="AD4">
        <v>24</v>
      </c>
      <c r="AE4">
        <v>23</v>
      </c>
      <c r="AF4">
        <v>1</v>
      </c>
      <c r="AG4">
        <v>41.5</v>
      </c>
      <c r="AH4">
        <v>38.5</v>
      </c>
      <c r="AI4">
        <v>3</v>
      </c>
      <c r="AJ4">
        <v>65.5</v>
      </c>
      <c r="AK4">
        <v>61.5</v>
      </c>
      <c r="AL4">
        <v>4</v>
      </c>
      <c r="AM4">
        <v>47.5</v>
      </c>
      <c r="AN4">
        <v>50.5</v>
      </c>
      <c r="AO4">
        <v>3</v>
      </c>
    </row>
    <row r="5" spans="1:44" x14ac:dyDescent="0.3">
      <c r="A5" s="1">
        <v>46143</v>
      </c>
      <c r="B5" t="s">
        <v>103</v>
      </c>
      <c r="C5">
        <v>38</v>
      </c>
      <c r="D5">
        <v>55</v>
      </c>
      <c r="E5">
        <v>17</v>
      </c>
      <c r="F5">
        <v>106</v>
      </c>
      <c r="G5">
        <v>103.5</v>
      </c>
      <c r="H5">
        <v>2.5</v>
      </c>
      <c r="I5">
        <v>144</v>
      </c>
      <c r="J5">
        <v>158.5</v>
      </c>
      <c r="K5">
        <v>14.5</v>
      </c>
      <c r="L5">
        <v>138</v>
      </c>
      <c r="M5">
        <v>149</v>
      </c>
      <c r="N5">
        <v>11</v>
      </c>
      <c r="O5">
        <v>44</v>
      </c>
      <c r="P5">
        <v>44.5</v>
      </c>
      <c r="Q5">
        <v>0.5</v>
      </c>
      <c r="R5">
        <v>106.5</v>
      </c>
      <c r="S5">
        <v>102</v>
      </c>
      <c r="T5">
        <v>4.5</v>
      </c>
      <c r="U5">
        <v>9.5</v>
      </c>
      <c r="V5">
        <v>18.5</v>
      </c>
      <c r="W5">
        <v>9</v>
      </c>
      <c r="X5">
        <v>80</v>
      </c>
      <c r="Y5">
        <v>80</v>
      </c>
      <c r="Z5">
        <v>0</v>
      </c>
      <c r="AA5">
        <v>60</v>
      </c>
      <c r="AB5">
        <v>57</v>
      </c>
      <c r="AC5">
        <v>3</v>
      </c>
      <c r="AD5">
        <v>38</v>
      </c>
      <c r="AE5">
        <v>40.5</v>
      </c>
      <c r="AF5">
        <v>2.5</v>
      </c>
      <c r="AG5">
        <v>33.5</v>
      </c>
      <c r="AH5">
        <v>31.5</v>
      </c>
      <c r="AI5">
        <v>2</v>
      </c>
      <c r="AJ5">
        <v>71.5</v>
      </c>
      <c r="AK5">
        <v>72</v>
      </c>
      <c r="AL5">
        <v>0.5</v>
      </c>
      <c r="AM5">
        <v>52</v>
      </c>
      <c r="AN5">
        <v>52</v>
      </c>
      <c r="AO5">
        <v>0</v>
      </c>
    </row>
    <row r="6" spans="1:44" x14ac:dyDescent="0.3">
      <c r="A6" s="1">
        <v>46143</v>
      </c>
      <c r="B6" t="s">
        <v>111</v>
      </c>
      <c r="C6">
        <v>32</v>
      </c>
      <c r="D6">
        <v>47.5</v>
      </c>
      <c r="E6">
        <v>15.5</v>
      </c>
      <c r="F6">
        <v>119.5</v>
      </c>
      <c r="G6">
        <v>107.5</v>
      </c>
      <c r="H6">
        <v>12</v>
      </c>
      <c r="I6">
        <v>151.5</v>
      </c>
      <c r="J6">
        <v>155</v>
      </c>
      <c r="K6">
        <v>3.5</v>
      </c>
      <c r="L6">
        <v>139.5</v>
      </c>
      <c r="M6">
        <v>157.5</v>
      </c>
      <c r="N6">
        <v>18</v>
      </c>
      <c r="O6">
        <v>49.5</v>
      </c>
      <c r="P6">
        <v>41</v>
      </c>
      <c r="Q6">
        <v>8.5</v>
      </c>
      <c r="R6">
        <v>112.5</v>
      </c>
      <c r="S6">
        <v>100.5</v>
      </c>
      <c r="T6">
        <v>12</v>
      </c>
      <c r="U6">
        <v>1</v>
      </c>
      <c r="V6">
        <v>8</v>
      </c>
      <c r="W6">
        <v>7</v>
      </c>
      <c r="X6">
        <v>88</v>
      </c>
      <c r="Y6">
        <v>89.5</v>
      </c>
      <c r="Z6">
        <v>1.5</v>
      </c>
      <c r="AA6">
        <v>58</v>
      </c>
      <c r="AB6">
        <v>63.5</v>
      </c>
      <c r="AC6">
        <v>5.5</v>
      </c>
      <c r="AD6">
        <v>37</v>
      </c>
      <c r="AE6">
        <v>33</v>
      </c>
      <c r="AF6">
        <v>4</v>
      </c>
      <c r="AG6">
        <v>31.5</v>
      </c>
      <c r="AH6">
        <v>36.5</v>
      </c>
      <c r="AI6">
        <v>5</v>
      </c>
      <c r="AJ6">
        <v>68.5</v>
      </c>
      <c r="AK6">
        <v>69.5</v>
      </c>
      <c r="AL6">
        <v>1</v>
      </c>
      <c r="AM6">
        <v>47</v>
      </c>
      <c r="AN6">
        <v>42</v>
      </c>
      <c r="AO6">
        <v>5</v>
      </c>
    </row>
    <row r="7" spans="1:44" x14ac:dyDescent="0.3">
      <c r="A7" s="1">
        <v>46143</v>
      </c>
      <c r="B7" t="s">
        <v>102</v>
      </c>
      <c r="C7">
        <v>43</v>
      </c>
      <c r="D7">
        <v>62</v>
      </c>
      <c r="E7">
        <v>19</v>
      </c>
      <c r="F7">
        <v>121.5</v>
      </c>
      <c r="G7">
        <v>105</v>
      </c>
      <c r="H7">
        <v>16.5</v>
      </c>
      <c r="I7">
        <v>164.5</v>
      </c>
      <c r="J7">
        <v>167</v>
      </c>
      <c r="K7">
        <v>2.5</v>
      </c>
      <c r="L7">
        <v>134</v>
      </c>
      <c r="M7">
        <v>147.5</v>
      </c>
      <c r="N7">
        <v>13.5</v>
      </c>
      <c r="O7">
        <v>54</v>
      </c>
      <c r="P7">
        <v>51</v>
      </c>
      <c r="Q7">
        <v>3</v>
      </c>
      <c r="R7">
        <v>118</v>
      </c>
      <c r="S7">
        <v>103</v>
      </c>
      <c r="T7">
        <v>15</v>
      </c>
      <c r="U7">
        <v>5.5</v>
      </c>
      <c r="V7">
        <v>17.5</v>
      </c>
      <c r="W7">
        <v>12</v>
      </c>
      <c r="X7">
        <v>85.5</v>
      </c>
      <c r="Y7">
        <v>94</v>
      </c>
      <c r="Z7">
        <v>8.5</v>
      </c>
      <c r="AA7">
        <v>62</v>
      </c>
      <c r="AB7">
        <v>68</v>
      </c>
      <c r="AC7">
        <v>6</v>
      </c>
      <c r="AD7">
        <v>37</v>
      </c>
      <c r="AE7">
        <v>32</v>
      </c>
      <c r="AF7">
        <v>5</v>
      </c>
      <c r="AG7">
        <v>34</v>
      </c>
      <c r="AH7">
        <v>40</v>
      </c>
      <c r="AI7">
        <v>6</v>
      </c>
      <c r="AJ7">
        <v>71</v>
      </c>
      <c r="AK7">
        <v>72</v>
      </c>
      <c r="AL7">
        <v>1</v>
      </c>
      <c r="AM7">
        <v>52.5</v>
      </c>
      <c r="AN7">
        <v>45</v>
      </c>
      <c r="AO7">
        <v>7.5</v>
      </c>
    </row>
    <row r="8" spans="1:44" x14ac:dyDescent="0.3">
      <c r="A8" s="1">
        <v>46143</v>
      </c>
      <c r="B8" t="s">
        <v>100</v>
      </c>
      <c r="C8">
        <v>37</v>
      </c>
      <c r="D8">
        <v>58</v>
      </c>
      <c r="E8">
        <v>21</v>
      </c>
      <c r="F8">
        <v>123.5</v>
      </c>
      <c r="G8">
        <v>111.5</v>
      </c>
      <c r="H8">
        <v>12</v>
      </c>
      <c r="I8">
        <v>160.5</v>
      </c>
      <c r="J8">
        <v>169.5</v>
      </c>
      <c r="K8">
        <v>9</v>
      </c>
      <c r="L8">
        <v>149.5</v>
      </c>
      <c r="M8">
        <v>144.5</v>
      </c>
      <c r="N8">
        <v>5</v>
      </c>
      <c r="O8">
        <v>54.5</v>
      </c>
      <c r="P8">
        <v>57</v>
      </c>
      <c r="Q8">
        <v>2.5</v>
      </c>
      <c r="R8">
        <v>122</v>
      </c>
      <c r="S8">
        <v>108.5</v>
      </c>
      <c r="T8">
        <v>13.5</v>
      </c>
      <c r="U8">
        <v>4.5</v>
      </c>
      <c r="V8">
        <v>8</v>
      </c>
      <c r="W8">
        <v>3.5</v>
      </c>
      <c r="X8">
        <v>88</v>
      </c>
      <c r="Y8">
        <v>86</v>
      </c>
      <c r="Z8">
        <v>2</v>
      </c>
      <c r="AA8">
        <v>57.5</v>
      </c>
      <c r="AB8">
        <v>73.5</v>
      </c>
      <c r="AC8">
        <v>16</v>
      </c>
      <c r="AD8">
        <v>31.5</v>
      </c>
      <c r="AE8">
        <v>46.5</v>
      </c>
      <c r="AF8">
        <v>15</v>
      </c>
      <c r="AG8">
        <v>31.5</v>
      </c>
      <c r="AH8">
        <v>22</v>
      </c>
      <c r="AI8">
        <v>9.5</v>
      </c>
      <c r="AJ8">
        <v>63</v>
      </c>
      <c r="AK8">
        <v>68.5</v>
      </c>
      <c r="AL8">
        <v>5.5</v>
      </c>
      <c r="AM8">
        <v>37.5</v>
      </c>
      <c r="AN8">
        <v>34.5</v>
      </c>
      <c r="AO8">
        <v>3</v>
      </c>
    </row>
    <row r="9" spans="1:44" x14ac:dyDescent="0.3">
      <c r="A9" s="1">
        <v>46143</v>
      </c>
      <c r="B9" t="s">
        <v>105</v>
      </c>
      <c r="C9">
        <v>38.5</v>
      </c>
      <c r="D9">
        <v>62.5</v>
      </c>
      <c r="E9">
        <v>24</v>
      </c>
      <c r="F9">
        <v>120.5</v>
      </c>
      <c r="G9">
        <v>113</v>
      </c>
      <c r="H9">
        <v>7.5</v>
      </c>
      <c r="I9">
        <v>159</v>
      </c>
      <c r="J9">
        <v>175.5</v>
      </c>
      <c r="K9">
        <v>16.5</v>
      </c>
      <c r="L9">
        <v>146.5</v>
      </c>
      <c r="M9">
        <v>147</v>
      </c>
      <c r="N9">
        <v>0.5</v>
      </c>
      <c r="O9">
        <v>45</v>
      </c>
      <c r="P9">
        <v>42</v>
      </c>
      <c r="Q9">
        <v>3</v>
      </c>
      <c r="R9">
        <v>113</v>
      </c>
      <c r="S9">
        <v>106.5</v>
      </c>
      <c r="T9">
        <v>6.5</v>
      </c>
      <c r="U9">
        <v>15.5</v>
      </c>
      <c r="V9">
        <v>17.5</v>
      </c>
      <c r="W9">
        <v>2</v>
      </c>
      <c r="X9">
        <v>85.5</v>
      </c>
      <c r="Y9">
        <v>86</v>
      </c>
      <c r="Z9">
        <v>0.5</v>
      </c>
      <c r="AA9">
        <v>46.5</v>
      </c>
      <c r="AB9">
        <v>46.5</v>
      </c>
      <c r="AC9">
        <v>0</v>
      </c>
      <c r="AD9">
        <v>31</v>
      </c>
      <c r="AE9">
        <v>37</v>
      </c>
      <c r="AF9">
        <v>6</v>
      </c>
      <c r="AG9">
        <v>37</v>
      </c>
      <c r="AH9">
        <v>35</v>
      </c>
      <c r="AI9">
        <v>2</v>
      </c>
      <c r="AJ9">
        <v>68</v>
      </c>
      <c r="AK9">
        <v>72</v>
      </c>
      <c r="AL9">
        <v>4</v>
      </c>
      <c r="AM9">
        <v>53.5</v>
      </c>
      <c r="AN9">
        <v>49</v>
      </c>
      <c r="AO9">
        <v>4.5</v>
      </c>
    </row>
    <row r="10" spans="1:44" x14ac:dyDescent="0.3">
      <c r="A10" s="1">
        <v>46143</v>
      </c>
      <c r="B10" t="s">
        <v>107</v>
      </c>
      <c r="C10">
        <v>38</v>
      </c>
      <c r="D10">
        <v>61.5</v>
      </c>
      <c r="E10">
        <v>23.5</v>
      </c>
      <c r="F10">
        <v>125</v>
      </c>
      <c r="G10">
        <v>109.5</v>
      </c>
      <c r="H10">
        <v>15.5</v>
      </c>
      <c r="I10">
        <v>163</v>
      </c>
      <c r="J10">
        <v>171</v>
      </c>
      <c r="K10">
        <v>8</v>
      </c>
      <c r="L10">
        <v>157</v>
      </c>
      <c r="M10">
        <v>163</v>
      </c>
      <c r="N10">
        <v>6</v>
      </c>
      <c r="O10">
        <v>40</v>
      </c>
      <c r="P10">
        <v>41</v>
      </c>
      <c r="Q10">
        <v>1</v>
      </c>
      <c r="R10">
        <v>116.5</v>
      </c>
      <c r="S10">
        <v>107</v>
      </c>
      <c r="T10">
        <v>9.5</v>
      </c>
      <c r="U10">
        <v>11.5</v>
      </c>
      <c r="V10">
        <v>17</v>
      </c>
      <c r="W10">
        <v>5.5</v>
      </c>
      <c r="X10">
        <v>87.5</v>
      </c>
      <c r="Y10">
        <v>87</v>
      </c>
      <c r="Z10">
        <v>0.5</v>
      </c>
      <c r="AA10">
        <v>66</v>
      </c>
      <c r="AB10">
        <v>59.5</v>
      </c>
      <c r="AC10">
        <v>6.5</v>
      </c>
      <c r="AD10">
        <v>36</v>
      </c>
      <c r="AE10">
        <v>36</v>
      </c>
      <c r="AF10">
        <v>0</v>
      </c>
      <c r="AG10">
        <v>39.5</v>
      </c>
      <c r="AH10">
        <v>35</v>
      </c>
      <c r="AI10">
        <v>4.5</v>
      </c>
      <c r="AJ10">
        <v>75.5</v>
      </c>
      <c r="AK10">
        <v>71</v>
      </c>
      <c r="AL10">
        <v>4.5</v>
      </c>
      <c r="AM10">
        <v>26.5</v>
      </c>
      <c r="AN10">
        <v>27</v>
      </c>
      <c r="AO10">
        <v>0.5</v>
      </c>
    </row>
    <row r="11" spans="1:44" x14ac:dyDescent="0.3">
      <c r="A11" s="1">
        <v>46157</v>
      </c>
      <c r="B11" t="s">
        <v>110</v>
      </c>
      <c r="C11">
        <v>40</v>
      </c>
      <c r="D11">
        <v>48</v>
      </c>
      <c r="E11">
        <v>8</v>
      </c>
      <c r="F11">
        <v>142</v>
      </c>
      <c r="G11">
        <v>133</v>
      </c>
      <c r="H11">
        <v>8.5</v>
      </c>
      <c r="I11">
        <v>182</v>
      </c>
      <c r="J11">
        <v>181.5</v>
      </c>
      <c r="K11">
        <v>0.5</v>
      </c>
      <c r="L11">
        <v>156.5</v>
      </c>
      <c r="M11">
        <v>147.5</v>
      </c>
      <c r="N11">
        <v>9</v>
      </c>
      <c r="O11">
        <v>49</v>
      </c>
      <c r="P11">
        <v>48.5</v>
      </c>
      <c r="Q11">
        <v>0.5</v>
      </c>
      <c r="R11">
        <v>133</v>
      </c>
      <c r="S11">
        <v>127.5</v>
      </c>
      <c r="T11">
        <v>5.5</v>
      </c>
      <c r="U11">
        <v>23</v>
      </c>
      <c r="V11">
        <v>22.5</v>
      </c>
      <c r="W11">
        <v>0.5</v>
      </c>
      <c r="X11">
        <v>87.5</v>
      </c>
      <c r="Y11">
        <v>90</v>
      </c>
      <c r="Z11">
        <v>2.5</v>
      </c>
      <c r="AA11">
        <v>77.5</v>
      </c>
      <c r="AB11">
        <v>79</v>
      </c>
      <c r="AC11">
        <v>1.5</v>
      </c>
      <c r="AD11">
        <v>36.5</v>
      </c>
      <c r="AE11">
        <v>38.5</v>
      </c>
      <c r="AF11">
        <v>2</v>
      </c>
      <c r="AG11">
        <v>35</v>
      </c>
      <c r="AH11">
        <v>26.5</v>
      </c>
      <c r="AI11">
        <v>8.5</v>
      </c>
      <c r="AJ11">
        <v>71.5</v>
      </c>
      <c r="AK11">
        <v>65</v>
      </c>
      <c r="AL11">
        <v>6.5</v>
      </c>
      <c r="AM11">
        <v>42.5</v>
      </c>
      <c r="AN11">
        <v>38.5</v>
      </c>
      <c r="AO11">
        <v>4</v>
      </c>
    </row>
    <row r="12" spans="1:44" x14ac:dyDescent="0.3">
      <c r="A12" s="1">
        <v>46157</v>
      </c>
      <c r="B12" t="s">
        <v>101</v>
      </c>
      <c r="C12">
        <v>41</v>
      </c>
      <c r="D12">
        <v>49</v>
      </c>
      <c r="E12">
        <v>8</v>
      </c>
      <c r="F12">
        <v>141</v>
      </c>
      <c r="G12">
        <v>133</v>
      </c>
      <c r="H12">
        <v>8</v>
      </c>
      <c r="I12">
        <v>181</v>
      </c>
      <c r="J12">
        <v>180</v>
      </c>
      <c r="K12">
        <v>1</v>
      </c>
      <c r="L12">
        <v>157</v>
      </c>
      <c r="M12">
        <v>148</v>
      </c>
      <c r="N12">
        <v>9</v>
      </c>
      <c r="O12">
        <v>50</v>
      </c>
      <c r="P12">
        <v>49</v>
      </c>
      <c r="Q12">
        <v>1</v>
      </c>
      <c r="R12">
        <v>132</v>
      </c>
      <c r="S12">
        <v>126</v>
      </c>
      <c r="T12">
        <v>6</v>
      </c>
      <c r="U12">
        <v>24</v>
      </c>
      <c r="V12">
        <v>23</v>
      </c>
      <c r="W12">
        <v>1</v>
      </c>
      <c r="X12">
        <v>88</v>
      </c>
      <c r="Y12">
        <v>90</v>
      </c>
      <c r="Z12">
        <v>2</v>
      </c>
      <c r="AA12">
        <v>78</v>
      </c>
      <c r="AB12">
        <v>79</v>
      </c>
      <c r="AC12">
        <v>1</v>
      </c>
      <c r="AD12">
        <v>37</v>
      </c>
      <c r="AE12">
        <v>39</v>
      </c>
      <c r="AF12">
        <v>2</v>
      </c>
      <c r="AG12">
        <v>34</v>
      </c>
      <c r="AH12">
        <v>27</v>
      </c>
      <c r="AI12">
        <v>7</v>
      </c>
      <c r="AJ12">
        <v>72</v>
      </c>
      <c r="AK12">
        <v>66</v>
      </c>
      <c r="AL12">
        <v>6</v>
      </c>
      <c r="AM12">
        <v>43</v>
      </c>
      <c r="AN12">
        <v>39</v>
      </c>
      <c r="AO12">
        <v>4</v>
      </c>
      <c r="AP12">
        <v>47</v>
      </c>
      <c r="AQ12">
        <v>61</v>
      </c>
      <c r="AR12">
        <v>14</v>
      </c>
    </row>
    <row r="13" spans="1:44" x14ac:dyDescent="0.3">
      <c r="A13" s="1">
        <v>46157</v>
      </c>
      <c r="B13" t="s">
        <v>106</v>
      </c>
      <c r="C13">
        <v>42</v>
      </c>
      <c r="D13">
        <v>50</v>
      </c>
      <c r="E13">
        <v>8</v>
      </c>
      <c r="F13">
        <v>143</v>
      </c>
      <c r="G13">
        <v>134</v>
      </c>
      <c r="H13">
        <v>9</v>
      </c>
      <c r="I13">
        <v>183</v>
      </c>
      <c r="J13">
        <v>182</v>
      </c>
      <c r="K13">
        <v>1</v>
      </c>
      <c r="L13">
        <v>158</v>
      </c>
      <c r="M13">
        <v>149</v>
      </c>
      <c r="N13">
        <v>9</v>
      </c>
      <c r="O13">
        <v>50</v>
      </c>
      <c r="P13">
        <v>50</v>
      </c>
      <c r="Q13">
        <v>0</v>
      </c>
      <c r="R13">
        <v>134</v>
      </c>
      <c r="S13">
        <v>128</v>
      </c>
      <c r="T13">
        <v>6</v>
      </c>
      <c r="U13">
        <v>23</v>
      </c>
      <c r="V13">
        <v>22</v>
      </c>
      <c r="W13">
        <v>1</v>
      </c>
      <c r="X13">
        <v>87</v>
      </c>
      <c r="Y13">
        <v>91</v>
      </c>
      <c r="Z13">
        <v>4</v>
      </c>
      <c r="AA13">
        <v>77</v>
      </c>
      <c r="AB13">
        <v>80</v>
      </c>
      <c r="AC13">
        <v>3</v>
      </c>
      <c r="AD13">
        <v>36</v>
      </c>
      <c r="AE13">
        <v>38</v>
      </c>
      <c r="AF13">
        <v>2</v>
      </c>
      <c r="AG13">
        <v>35</v>
      </c>
      <c r="AH13">
        <v>28</v>
      </c>
      <c r="AI13">
        <v>7</v>
      </c>
      <c r="AJ13">
        <v>73</v>
      </c>
      <c r="AK13">
        <v>67</v>
      </c>
      <c r="AL13">
        <v>6</v>
      </c>
      <c r="AM13">
        <v>42</v>
      </c>
      <c r="AN13">
        <v>38</v>
      </c>
      <c r="AO13">
        <v>4</v>
      </c>
      <c r="AP13">
        <v>46</v>
      </c>
      <c r="AQ13">
        <v>60</v>
      </c>
      <c r="AR13">
        <v>14</v>
      </c>
    </row>
    <row r="14" spans="1:44" x14ac:dyDescent="0.3">
      <c r="A14" s="1">
        <v>46157</v>
      </c>
      <c r="B14" t="s">
        <v>103</v>
      </c>
      <c r="C14">
        <v>43</v>
      </c>
      <c r="D14">
        <v>51</v>
      </c>
      <c r="E14">
        <v>8</v>
      </c>
      <c r="F14">
        <v>144</v>
      </c>
      <c r="G14">
        <v>135</v>
      </c>
      <c r="H14">
        <v>9</v>
      </c>
      <c r="I14">
        <v>184</v>
      </c>
      <c r="J14">
        <v>183</v>
      </c>
      <c r="K14">
        <v>1</v>
      </c>
      <c r="L14">
        <v>159</v>
      </c>
      <c r="M14">
        <v>150</v>
      </c>
      <c r="N14">
        <v>9</v>
      </c>
      <c r="O14">
        <v>51</v>
      </c>
      <c r="P14">
        <v>50</v>
      </c>
      <c r="Q14">
        <v>1</v>
      </c>
      <c r="R14">
        <v>135</v>
      </c>
      <c r="S14">
        <v>129</v>
      </c>
      <c r="T14">
        <v>6</v>
      </c>
      <c r="U14">
        <v>24</v>
      </c>
      <c r="V14">
        <v>23</v>
      </c>
      <c r="W14">
        <v>1</v>
      </c>
      <c r="X14">
        <v>88</v>
      </c>
      <c r="Y14">
        <v>92</v>
      </c>
      <c r="Z14">
        <v>4</v>
      </c>
      <c r="AA14">
        <v>78</v>
      </c>
      <c r="AB14">
        <v>81</v>
      </c>
      <c r="AC14">
        <v>3</v>
      </c>
      <c r="AD14">
        <v>37</v>
      </c>
      <c r="AE14">
        <v>39</v>
      </c>
      <c r="AF14">
        <v>2</v>
      </c>
      <c r="AG14">
        <v>36</v>
      </c>
      <c r="AH14">
        <v>29</v>
      </c>
      <c r="AI14">
        <v>7</v>
      </c>
      <c r="AJ14">
        <v>74</v>
      </c>
      <c r="AK14">
        <v>68</v>
      </c>
      <c r="AL14">
        <v>6</v>
      </c>
      <c r="AM14">
        <v>43</v>
      </c>
      <c r="AN14">
        <v>39</v>
      </c>
      <c r="AO14">
        <v>4</v>
      </c>
      <c r="AP14">
        <v>47</v>
      </c>
      <c r="AQ14">
        <v>62</v>
      </c>
      <c r="AR14">
        <v>15</v>
      </c>
    </row>
    <row r="15" spans="1:44" x14ac:dyDescent="0.3">
      <c r="A15" s="1">
        <v>46157</v>
      </c>
      <c r="B15" t="s">
        <v>111</v>
      </c>
      <c r="C15">
        <v>44</v>
      </c>
      <c r="D15">
        <v>52</v>
      </c>
      <c r="E15">
        <v>8</v>
      </c>
      <c r="F15">
        <v>145</v>
      </c>
      <c r="G15">
        <v>136</v>
      </c>
      <c r="H15">
        <v>9</v>
      </c>
      <c r="I15">
        <v>185</v>
      </c>
      <c r="J15">
        <v>184</v>
      </c>
      <c r="K15">
        <v>1</v>
      </c>
      <c r="L15">
        <v>160</v>
      </c>
      <c r="M15">
        <v>151</v>
      </c>
      <c r="N15">
        <v>9</v>
      </c>
      <c r="O15">
        <v>51</v>
      </c>
      <c r="P15">
        <v>51</v>
      </c>
      <c r="Q15">
        <v>0</v>
      </c>
      <c r="R15">
        <v>136</v>
      </c>
      <c r="S15">
        <v>130</v>
      </c>
      <c r="T15">
        <v>6</v>
      </c>
      <c r="U15">
        <v>25</v>
      </c>
      <c r="V15">
        <v>24</v>
      </c>
      <c r="W15">
        <v>1</v>
      </c>
      <c r="X15">
        <v>89</v>
      </c>
      <c r="Y15">
        <v>93</v>
      </c>
      <c r="Z15">
        <v>4</v>
      </c>
      <c r="AA15">
        <v>79</v>
      </c>
      <c r="AB15">
        <v>82</v>
      </c>
      <c r="AC15">
        <v>3</v>
      </c>
      <c r="AD15">
        <v>38</v>
      </c>
      <c r="AE15">
        <v>40</v>
      </c>
      <c r="AF15">
        <v>2</v>
      </c>
      <c r="AG15">
        <v>37</v>
      </c>
      <c r="AH15">
        <v>30</v>
      </c>
      <c r="AI15">
        <v>7</v>
      </c>
      <c r="AJ15">
        <v>75</v>
      </c>
      <c r="AK15">
        <v>69</v>
      </c>
      <c r="AL15">
        <v>6</v>
      </c>
      <c r="AM15">
        <v>44</v>
      </c>
      <c r="AN15">
        <v>40</v>
      </c>
      <c r="AO15">
        <v>4</v>
      </c>
      <c r="AP15">
        <v>48</v>
      </c>
      <c r="AQ15">
        <v>63</v>
      </c>
      <c r="AR15">
        <v>15</v>
      </c>
    </row>
    <row r="16" spans="1:44" x14ac:dyDescent="0.3">
      <c r="A16" s="1">
        <v>46157</v>
      </c>
      <c r="B16" t="s">
        <v>102</v>
      </c>
      <c r="C16">
        <v>45</v>
      </c>
      <c r="D16">
        <v>53</v>
      </c>
      <c r="E16">
        <v>8</v>
      </c>
      <c r="F16">
        <v>146</v>
      </c>
      <c r="G16">
        <v>137</v>
      </c>
      <c r="H16">
        <v>9</v>
      </c>
      <c r="I16">
        <v>186</v>
      </c>
      <c r="J16">
        <v>185</v>
      </c>
      <c r="K16">
        <v>1</v>
      </c>
      <c r="L16">
        <v>161</v>
      </c>
      <c r="M16">
        <v>152</v>
      </c>
      <c r="N16">
        <v>9</v>
      </c>
      <c r="O16">
        <v>52</v>
      </c>
      <c r="P16">
        <v>51</v>
      </c>
      <c r="Q16">
        <v>1</v>
      </c>
      <c r="R16">
        <v>137</v>
      </c>
      <c r="S16">
        <v>131</v>
      </c>
      <c r="T16">
        <v>6</v>
      </c>
      <c r="U16">
        <v>26</v>
      </c>
      <c r="V16">
        <v>25</v>
      </c>
      <c r="W16">
        <v>1</v>
      </c>
      <c r="X16">
        <v>90</v>
      </c>
      <c r="Y16">
        <v>94</v>
      </c>
      <c r="Z16">
        <v>4</v>
      </c>
      <c r="AA16">
        <v>80</v>
      </c>
      <c r="AB16">
        <v>83</v>
      </c>
      <c r="AC16">
        <v>3</v>
      </c>
      <c r="AD16">
        <v>39</v>
      </c>
      <c r="AE16">
        <v>41</v>
      </c>
      <c r="AF16">
        <v>2</v>
      </c>
      <c r="AG16">
        <v>38</v>
      </c>
      <c r="AH16">
        <v>31</v>
      </c>
      <c r="AI16">
        <v>7</v>
      </c>
      <c r="AJ16">
        <v>76</v>
      </c>
      <c r="AK16">
        <v>70</v>
      </c>
      <c r="AL16">
        <v>6</v>
      </c>
      <c r="AM16">
        <v>45</v>
      </c>
      <c r="AN16">
        <v>41</v>
      </c>
      <c r="AO16">
        <v>4</v>
      </c>
      <c r="AP16">
        <v>49</v>
      </c>
      <c r="AQ16">
        <v>64</v>
      </c>
      <c r="AR16">
        <v>15</v>
      </c>
    </row>
    <row r="17" spans="1:44" x14ac:dyDescent="0.3">
      <c r="A17" s="1">
        <v>46157</v>
      </c>
      <c r="B17" t="s">
        <v>100</v>
      </c>
      <c r="C17">
        <v>46</v>
      </c>
      <c r="D17">
        <v>54</v>
      </c>
      <c r="E17">
        <v>8</v>
      </c>
      <c r="F17">
        <v>147</v>
      </c>
      <c r="G17">
        <v>138</v>
      </c>
      <c r="H17">
        <v>9</v>
      </c>
      <c r="I17">
        <v>187</v>
      </c>
      <c r="J17">
        <v>186</v>
      </c>
      <c r="K17">
        <v>1</v>
      </c>
      <c r="L17">
        <v>162</v>
      </c>
      <c r="M17">
        <v>153</v>
      </c>
      <c r="N17">
        <v>9</v>
      </c>
      <c r="O17">
        <v>52</v>
      </c>
      <c r="P17">
        <v>52</v>
      </c>
      <c r="Q17">
        <v>0</v>
      </c>
      <c r="R17">
        <v>138</v>
      </c>
      <c r="S17">
        <v>132</v>
      </c>
      <c r="T17">
        <v>6</v>
      </c>
      <c r="U17">
        <v>27</v>
      </c>
      <c r="V17">
        <v>26</v>
      </c>
      <c r="W17">
        <v>1</v>
      </c>
      <c r="X17">
        <v>91</v>
      </c>
      <c r="Y17">
        <v>95</v>
      </c>
      <c r="Z17">
        <v>4</v>
      </c>
      <c r="AA17">
        <v>81</v>
      </c>
      <c r="AB17">
        <v>84</v>
      </c>
      <c r="AC17">
        <v>3</v>
      </c>
      <c r="AD17">
        <v>40</v>
      </c>
      <c r="AE17">
        <v>42</v>
      </c>
      <c r="AF17">
        <v>2</v>
      </c>
      <c r="AG17">
        <v>39</v>
      </c>
      <c r="AH17">
        <v>32</v>
      </c>
      <c r="AI17">
        <v>7</v>
      </c>
      <c r="AJ17">
        <v>77</v>
      </c>
      <c r="AK17">
        <v>71</v>
      </c>
      <c r="AL17">
        <v>6</v>
      </c>
      <c r="AM17">
        <v>46</v>
      </c>
      <c r="AN17">
        <v>42</v>
      </c>
      <c r="AO17">
        <v>4</v>
      </c>
      <c r="AP17">
        <v>50</v>
      </c>
      <c r="AQ17">
        <v>65</v>
      </c>
      <c r="AR17">
        <v>15</v>
      </c>
    </row>
    <row r="18" spans="1:44" x14ac:dyDescent="0.3">
      <c r="A18" s="1">
        <v>46157</v>
      </c>
      <c r="B18" t="s">
        <v>105</v>
      </c>
      <c r="C18">
        <v>47</v>
      </c>
      <c r="D18">
        <v>55</v>
      </c>
      <c r="E18">
        <v>8</v>
      </c>
      <c r="F18">
        <v>148</v>
      </c>
      <c r="G18">
        <v>139</v>
      </c>
      <c r="H18">
        <v>9</v>
      </c>
      <c r="I18">
        <v>188</v>
      </c>
      <c r="J18">
        <v>187</v>
      </c>
      <c r="K18">
        <v>1</v>
      </c>
      <c r="L18">
        <v>163</v>
      </c>
      <c r="M18">
        <v>154</v>
      </c>
      <c r="N18">
        <v>9</v>
      </c>
      <c r="O18">
        <v>53</v>
      </c>
      <c r="P18">
        <v>52</v>
      </c>
      <c r="Q18">
        <v>1</v>
      </c>
      <c r="R18">
        <v>139</v>
      </c>
      <c r="S18">
        <v>133</v>
      </c>
      <c r="T18">
        <v>6</v>
      </c>
      <c r="U18">
        <v>28</v>
      </c>
      <c r="V18">
        <v>27</v>
      </c>
      <c r="W18">
        <v>1</v>
      </c>
      <c r="X18">
        <v>92</v>
      </c>
      <c r="Y18">
        <v>96</v>
      </c>
      <c r="Z18">
        <v>4</v>
      </c>
      <c r="AA18">
        <v>82</v>
      </c>
      <c r="AB18">
        <v>85</v>
      </c>
      <c r="AC18">
        <v>3</v>
      </c>
      <c r="AD18">
        <v>41</v>
      </c>
      <c r="AE18">
        <v>43</v>
      </c>
      <c r="AF18">
        <v>2</v>
      </c>
      <c r="AG18">
        <v>40</v>
      </c>
      <c r="AH18">
        <v>33</v>
      </c>
      <c r="AI18">
        <v>7</v>
      </c>
      <c r="AJ18">
        <v>78</v>
      </c>
      <c r="AK18">
        <v>72</v>
      </c>
      <c r="AL18">
        <v>6</v>
      </c>
      <c r="AM18">
        <v>47</v>
      </c>
      <c r="AN18">
        <v>43</v>
      </c>
      <c r="AO18">
        <v>4</v>
      </c>
      <c r="AP18">
        <v>51</v>
      </c>
      <c r="AQ18">
        <v>66</v>
      </c>
      <c r="AR18">
        <v>15</v>
      </c>
    </row>
    <row r="19" spans="1:44" x14ac:dyDescent="0.3">
      <c r="A19" s="1">
        <v>46157</v>
      </c>
      <c r="B19" t="s">
        <v>107</v>
      </c>
      <c r="C19">
        <v>39</v>
      </c>
      <c r="D19">
        <v>47</v>
      </c>
      <c r="E19">
        <v>8</v>
      </c>
      <c r="F19">
        <v>140</v>
      </c>
      <c r="G19">
        <v>132</v>
      </c>
      <c r="H19">
        <v>8</v>
      </c>
      <c r="I19">
        <v>180</v>
      </c>
      <c r="J19">
        <v>179</v>
      </c>
      <c r="K19">
        <v>1</v>
      </c>
      <c r="L19">
        <v>155</v>
      </c>
      <c r="M19">
        <v>146</v>
      </c>
      <c r="N19">
        <v>9</v>
      </c>
      <c r="O19">
        <v>48</v>
      </c>
      <c r="P19">
        <v>47.5</v>
      </c>
      <c r="Q19">
        <v>0.5</v>
      </c>
      <c r="R19">
        <v>131</v>
      </c>
      <c r="S19">
        <v>125.5</v>
      </c>
      <c r="T19">
        <v>5.5</v>
      </c>
      <c r="U19">
        <v>22</v>
      </c>
      <c r="V19">
        <v>21.5</v>
      </c>
      <c r="W19">
        <v>0.5</v>
      </c>
      <c r="X19">
        <v>86</v>
      </c>
      <c r="Y19">
        <v>89</v>
      </c>
      <c r="Z19">
        <v>3</v>
      </c>
      <c r="AA19">
        <v>76</v>
      </c>
      <c r="AB19">
        <v>78</v>
      </c>
      <c r="AC19">
        <v>2</v>
      </c>
      <c r="AD19">
        <v>35</v>
      </c>
      <c r="AE19">
        <v>37</v>
      </c>
      <c r="AF19">
        <v>2</v>
      </c>
      <c r="AG19">
        <v>33</v>
      </c>
      <c r="AH19">
        <v>26</v>
      </c>
      <c r="AI19">
        <v>7</v>
      </c>
      <c r="AJ19">
        <v>70</v>
      </c>
      <c r="AK19">
        <v>64</v>
      </c>
      <c r="AL19">
        <v>6</v>
      </c>
      <c r="AM19">
        <v>41</v>
      </c>
      <c r="AN19">
        <v>37</v>
      </c>
      <c r="AO19">
        <v>4</v>
      </c>
    </row>
    <row r="20" spans="1:44" x14ac:dyDescent="0.3">
      <c r="A20" s="1">
        <v>46171</v>
      </c>
      <c r="B20" t="s">
        <v>110</v>
      </c>
      <c r="C20">
        <v>40</v>
      </c>
      <c r="D20">
        <v>48</v>
      </c>
      <c r="E20">
        <v>8</v>
      </c>
      <c r="F20">
        <v>141</v>
      </c>
      <c r="G20">
        <v>133</v>
      </c>
      <c r="H20">
        <v>8</v>
      </c>
      <c r="I20">
        <v>181</v>
      </c>
      <c r="J20">
        <v>180</v>
      </c>
      <c r="K20">
        <v>1</v>
      </c>
      <c r="L20">
        <v>156</v>
      </c>
      <c r="M20">
        <v>147</v>
      </c>
      <c r="N20">
        <v>9</v>
      </c>
      <c r="O20">
        <v>49</v>
      </c>
      <c r="P20">
        <v>48.5</v>
      </c>
      <c r="Q20">
        <v>0.5</v>
      </c>
      <c r="R20">
        <v>132</v>
      </c>
      <c r="S20">
        <v>126.5</v>
      </c>
      <c r="T20">
        <v>5.5</v>
      </c>
      <c r="U20">
        <v>23</v>
      </c>
      <c r="V20">
        <v>22.5</v>
      </c>
      <c r="W20">
        <v>0.5</v>
      </c>
      <c r="X20">
        <v>87</v>
      </c>
      <c r="Y20">
        <v>90</v>
      </c>
      <c r="Z20">
        <v>3</v>
      </c>
      <c r="AA20">
        <v>77</v>
      </c>
      <c r="AB20">
        <v>79</v>
      </c>
      <c r="AC20">
        <v>2</v>
      </c>
      <c r="AD20">
        <v>36</v>
      </c>
      <c r="AE20">
        <v>38</v>
      </c>
      <c r="AF20">
        <v>2</v>
      </c>
      <c r="AG20">
        <v>34</v>
      </c>
      <c r="AH20">
        <v>27</v>
      </c>
      <c r="AI20">
        <v>7</v>
      </c>
      <c r="AJ20">
        <v>71</v>
      </c>
      <c r="AK20">
        <v>65</v>
      </c>
      <c r="AL20">
        <v>6</v>
      </c>
      <c r="AM20">
        <v>42</v>
      </c>
      <c r="AN20">
        <v>38</v>
      </c>
      <c r="AO20">
        <v>4</v>
      </c>
      <c r="AP20">
        <v>45</v>
      </c>
      <c r="AQ20">
        <v>59</v>
      </c>
      <c r="AR20">
        <v>14</v>
      </c>
    </row>
    <row r="21" spans="1:44" x14ac:dyDescent="0.3">
      <c r="A21" s="1">
        <v>46171</v>
      </c>
      <c r="B21" t="s">
        <v>101</v>
      </c>
      <c r="C21">
        <v>41</v>
      </c>
      <c r="D21">
        <v>49</v>
      </c>
      <c r="E21">
        <v>8</v>
      </c>
      <c r="F21">
        <v>142</v>
      </c>
      <c r="G21">
        <v>134</v>
      </c>
      <c r="H21">
        <v>8</v>
      </c>
      <c r="I21">
        <v>182</v>
      </c>
      <c r="J21">
        <v>181</v>
      </c>
      <c r="K21">
        <v>1</v>
      </c>
      <c r="L21">
        <v>157</v>
      </c>
      <c r="M21">
        <v>148</v>
      </c>
      <c r="N21">
        <v>9</v>
      </c>
      <c r="O21">
        <v>50</v>
      </c>
      <c r="P21">
        <v>49.5</v>
      </c>
      <c r="Q21">
        <v>0.5</v>
      </c>
      <c r="R21">
        <v>133</v>
      </c>
      <c r="S21">
        <v>127.5</v>
      </c>
      <c r="T21">
        <v>5.5</v>
      </c>
      <c r="U21">
        <v>24</v>
      </c>
      <c r="V21">
        <v>23.5</v>
      </c>
      <c r="W21">
        <v>0.5</v>
      </c>
      <c r="X21">
        <v>88</v>
      </c>
      <c r="Y21">
        <v>91</v>
      </c>
      <c r="Z21">
        <v>3</v>
      </c>
      <c r="AA21">
        <v>78</v>
      </c>
      <c r="AB21">
        <v>80</v>
      </c>
      <c r="AC21">
        <v>2</v>
      </c>
      <c r="AD21">
        <v>37</v>
      </c>
      <c r="AE21">
        <v>39</v>
      </c>
      <c r="AF21">
        <v>2</v>
      </c>
      <c r="AG21">
        <v>35</v>
      </c>
      <c r="AH21">
        <v>28</v>
      </c>
      <c r="AI21">
        <v>7</v>
      </c>
      <c r="AJ21">
        <v>72</v>
      </c>
      <c r="AK21">
        <v>66</v>
      </c>
      <c r="AL21">
        <v>6</v>
      </c>
      <c r="AM21">
        <v>43</v>
      </c>
      <c r="AN21">
        <v>39</v>
      </c>
      <c r="AO21">
        <v>4</v>
      </c>
      <c r="AP21">
        <v>46</v>
      </c>
      <c r="AQ21">
        <v>60</v>
      </c>
      <c r="AR21">
        <v>14</v>
      </c>
    </row>
    <row r="22" spans="1:44" x14ac:dyDescent="0.3">
      <c r="A22" s="1">
        <v>46171</v>
      </c>
      <c r="B22" t="s">
        <v>106</v>
      </c>
      <c r="C22">
        <v>42</v>
      </c>
      <c r="D22">
        <v>50</v>
      </c>
      <c r="E22">
        <v>8</v>
      </c>
      <c r="F22">
        <v>143</v>
      </c>
      <c r="G22">
        <v>135</v>
      </c>
      <c r="H22">
        <v>8</v>
      </c>
      <c r="I22">
        <v>183</v>
      </c>
      <c r="J22">
        <v>182</v>
      </c>
      <c r="K22">
        <v>1</v>
      </c>
      <c r="L22">
        <v>158</v>
      </c>
      <c r="M22">
        <v>149</v>
      </c>
      <c r="N22">
        <v>9</v>
      </c>
      <c r="O22">
        <v>50</v>
      </c>
      <c r="P22">
        <v>50</v>
      </c>
      <c r="Q22">
        <v>0</v>
      </c>
      <c r="R22">
        <v>134</v>
      </c>
      <c r="S22">
        <v>128</v>
      </c>
      <c r="T22">
        <v>6</v>
      </c>
      <c r="U22">
        <v>23</v>
      </c>
      <c r="V22">
        <v>22</v>
      </c>
      <c r="W22">
        <v>1</v>
      </c>
      <c r="X22">
        <v>89</v>
      </c>
      <c r="Y22">
        <v>92</v>
      </c>
      <c r="Z22">
        <v>3</v>
      </c>
      <c r="AA22">
        <v>79</v>
      </c>
      <c r="AB22">
        <v>81</v>
      </c>
      <c r="AC22">
        <v>2</v>
      </c>
      <c r="AD22">
        <v>36</v>
      </c>
      <c r="AE22">
        <v>38</v>
      </c>
      <c r="AF22">
        <v>2</v>
      </c>
      <c r="AG22">
        <v>36</v>
      </c>
      <c r="AH22">
        <v>29</v>
      </c>
      <c r="AI22">
        <v>7</v>
      </c>
      <c r="AJ22">
        <v>73</v>
      </c>
      <c r="AK22">
        <v>67</v>
      </c>
      <c r="AL22">
        <v>6</v>
      </c>
      <c r="AM22">
        <v>42</v>
      </c>
      <c r="AN22">
        <v>38</v>
      </c>
      <c r="AO22">
        <v>4</v>
      </c>
      <c r="AP22">
        <v>47</v>
      </c>
      <c r="AQ22">
        <v>61</v>
      </c>
      <c r="AR22">
        <v>14</v>
      </c>
    </row>
    <row r="23" spans="1:44" x14ac:dyDescent="0.3">
      <c r="A23" s="1">
        <v>46171</v>
      </c>
      <c r="B23" t="s">
        <v>103</v>
      </c>
      <c r="C23">
        <v>43</v>
      </c>
      <c r="D23">
        <v>51</v>
      </c>
      <c r="E23">
        <v>8</v>
      </c>
      <c r="F23">
        <v>144</v>
      </c>
      <c r="G23">
        <v>136</v>
      </c>
      <c r="H23">
        <v>8</v>
      </c>
      <c r="I23">
        <v>184</v>
      </c>
      <c r="J23">
        <v>183</v>
      </c>
      <c r="K23">
        <v>1</v>
      </c>
      <c r="L23">
        <v>159</v>
      </c>
      <c r="M23">
        <v>150</v>
      </c>
      <c r="N23">
        <v>9</v>
      </c>
      <c r="O23">
        <v>51</v>
      </c>
      <c r="P23">
        <v>50.5</v>
      </c>
      <c r="Q23">
        <v>0.5</v>
      </c>
      <c r="R23">
        <v>135</v>
      </c>
      <c r="S23">
        <v>129</v>
      </c>
      <c r="T23">
        <v>6</v>
      </c>
      <c r="U23">
        <v>24</v>
      </c>
      <c r="V23">
        <v>23</v>
      </c>
      <c r="W23">
        <v>1</v>
      </c>
      <c r="X23">
        <v>90</v>
      </c>
      <c r="Y23">
        <v>93</v>
      </c>
      <c r="Z23">
        <v>3</v>
      </c>
      <c r="AA23">
        <v>80</v>
      </c>
      <c r="AB23">
        <v>82</v>
      </c>
      <c r="AC23">
        <v>2</v>
      </c>
      <c r="AD23">
        <v>37</v>
      </c>
      <c r="AE23">
        <v>39</v>
      </c>
      <c r="AF23">
        <v>2</v>
      </c>
      <c r="AG23">
        <v>37</v>
      </c>
      <c r="AH23">
        <v>30</v>
      </c>
      <c r="AI23">
        <v>7</v>
      </c>
      <c r="AJ23">
        <v>74</v>
      </c>
      <c r="AK23">
        <v>68</v>
      </c>
      <c r="AL23">
        <v>6</v>
      </c>
      <c r="AM23">
        <v>43</v>
      </c>
      <c r="AN23">
        <v>39</v>
      </c>
      <c r="AO23">
        <v>4</v>
      </c>
      <c r="AP23">
        <v>48</v>
      </c>
      <c r="AQ23">
        <v>62</v>
      </c>
      <c r="AR23">
        <v>14</v>
      </c>
    </row>
    <row r="24" spans="1:44" x14ac:dyDescent="0.3">
      <c r="A24" s="1">
        <v>46171</v>
      </c>
      <c r="B24" t="s">
        <v>111</v>
      </c>
      <c r="C24">
        <v>44</v>
      </c>
      <c r="D24">
        <v>52</v>
      </c>
      <c r="E24">
        <v>8</v>
      </c>
      <c r="F24">
        <v>145</v>
      </c>
      <c r="G24">
        <v>137</v>
      </c>
      <c r="H24">
        <v>8</v>
      </c>
      <c r="I24">
        <v>185</v>
      </c>
      <c r="J24">
        <v>184</v>
      </c>
      <c r="K24">
        <v>1</v>
      </c>
      <c r="L24">
        <v>160</v>
      </c>
      <c r="M24">
        <v>151</v>
      </c>
      <c r="N24">
        <v>9</v>
      </c>
      <c r="O24">
        <v>51</v>
      </c>
      <c r="P24">
        <v>51</v>
      </c>
      <c r="Q24">
        <v>0</v>
      </c>
      <c r="R24">
        <v>136</v>
      </c>
      <c r="S24">
        <v>130</v>
      </c>
      <c r="T24">
        <v>6</v>
      </c>
      <c r="U24">
        <v>25</v>
      </c>
      <c r="V24">
        <v>24</v>
      </c>
      <c r="W24">
        <v>1</v>
      </c>
      <c r="X24">
        <v>91</v>
      </c>
      <c r="Y24">
        <v>94</v>
      </c>
      <c r="Z24">
        <v>3</v>
      </c>
      <c r="AA24">
        <v>81</v>
      </c>
      <c r="AB24">
        <v>83</v>
      </c>
      <c r="AC24">
        <v>2</v>
      </c>
      <c r="AD24">
        <v>38</v>
      </c>
      <c r="AE24">
        <v>40</v>
      </c>
      <c r="AF24">
        <v>2</v>
      </c>
      <c r="AG24">
        <v>38</v>
      </c>
      <c r="AH24">
        <v>31</v>
      </c>
      <c r="AI24">
        <v>7</v>
      </c>
      <c r="AJ24">
        <v>75</v>
      </c>
      <c r="AK24">
        <v>69</v>
      </c>
      <c r="AL24">
        <v>6</v>
      </c>
      <c r="AM24">
        <v>44</v>
      </c>
      <c r="AN24">
        <v>40</v>
      </c>
      <c r="AO24">
        <v>4</v>
      </c>
      <c r="AP24">
        <v>49</v>
      </c>
      <c r="AQ24">
        <v>63</v>
      </c>
      <c r="AR24">
        <v>14</v>
      </c>
    </row>
    <row r="25" spans="1:44" x14ac:dyDescent="0.3">
      <c r="A25" s="1">
        <v>46171</v>
      </c>
      <c r="B25" t="s">
        <v>102</v>
      </c>
      <c r="C25">
        <v>45</v>
      </c>
      <c r="D25">
        <v>53</v>
      </c>
      <c r="E25">
        <v>8</v>
      </c>
      <c r="F25">
        <v>146</v>
      </c>
      <c r="G25">
        <v>138</v>
      </c>
      <c r="H25">
        <v>8</v>
      </c>
      <c r="I25">
        <v>186</v>
      </c>
      <c r="J25">
        <v>185</v>
      </c>
      <c r="K25">
        <v>1</v>
      </c>
      <c r="L25">
        <v>161</v>
      </c>
      <c r="M25">
        <v>152</v>
      </c>
      <c r="N25">
        <v>9</v>
      </c>
      <c r="O25">
        <v>52</v>
      </c>
      <c r="P25">
        <v>51.5</v>
      </c>
      <c r="Q25">
        <v>0.5</v>
      </c>
      <c r="R25">
        <v>137</v>
      </c>
      <c r="S25">
        <v>131</v>
      </c>
      <c r="T25">
        <v>6</v>
      </c>
      <c r="U25">
        <v>26</v>
      </c>
      <c r="V25">
        <v>25</v>
      </c>
      <c r="W25">
        <v>1</v>
      </c>
      <c r="X25">
        <v>92</v>
      </c>
      <c r="Y25">
        <v>95</v>
      </c>
      <c r="Z25">
        <v>3</v>
      </c>
      <c r="AA25">
        <v>82</v>
      </c>
      <c r="AB25">
        <v>84</v>
      </c>
      <c r="AC25">
        <v>2</v>
      </c>
      <c r="AD25">
        <v>39</v>
      </c>
      <c r="AE25">
        <v>41</v>
      </c>
      <c r="AF25">
        <v>2</v>
      </c>
      <c r="AG25">
        <v>39</v>
      </c>
      <c r="AH25">
        <v>32</v>
      </c>
      <c r="AI25">
        <v>7</v>
      </c>
      <c r="AJ25">
        <v>76</v>
      </c>
      <c r="AK25">
        <v>70</v>
      </c>
      <c r="AL25">
        <v>6</v>
      </c>
      <c r="AM25">
        <v>45</v>
      </c>
      <c r="AN25">
        <v>41</v>
      </c>
      <c r="AO25">
        <v>4</v>
      </c>
      <c r="AP25">
        <v>50</v>
      </c>
      <c r="AQ25">
        <v>64</v>
      </c>
      <c r="AR25">
        <v>14</v>
      </c>
    </row>
    <row r="26" spans="1:44" x14ac:dyDescent="0.3">
      <c r="A26" s="1">
        <v>46171</v>
      </c>
      <c r="B26" t="s">
        <v>100</v>
      </c>
      <c r="C26">
        <v>46</v>
      </c>
      <c r="D26">
        <v>54</v>
      </c>
      <c r="E26">
        <v>8</v>
      </c>
      <c r="F26">
        <v>147</v>
      </c>
      <c r="G26">
        <v>139</v>
      </c>
      <c r="H26">
        <v>8</v>
      </c>
      <c r="I26">
        <v>187</v>
      </c>
      <c r="J26">
        <v>186</v>
      </c>
      <c r="K26">
        <v>1</v>
      </c>
      <c r="L26">
        <v>162</v>
      </c>
      <c r="M26">
        <v>153</v>
      </c>
      <c r="N26">
        <v>9</v>
      </c>
      <c r="O26">
        <v>52</v>
      </c>
      <c r="P26">
        <v>52</v>
      </c>
      <c r="Q26">
        <v>0</v>
      </c>
      <c r="R26">
        <v>138</v>
      </c>
      <c r="S26">
        <v>132</v>
      </c>
      <c r="T26">
        <v>6</v>
      </c>
      <c r="U26">
        <v>27</v>
      </c>
      <c r="V26">
        <v>26</v>
      </c>
      <c r="W26">
        <v>1</v>
      </c>
      <c r="X26">
        <v>93</v>
      </c>
      <c r="Y26">
        <v>96</v>
      </c>
      <c r="Z26">
        <v>3</v>
      </c>
      <c r="AA26">
        <v>83</v>
      </c>
      <c r="AB26">
        <v>85</v>
      </c>
      <c r="AC26">
        <v>2</v>
      </c>
      <c r="AD26">
        <v>40</v>
      </c>
      <c r="AE26">
        <v>42</v>
      </c>
      <c r="AF26">
        <v>2</v>
      </c>
      <c r="AG26">
        <v>40</v>
      </c>
      <c r="AH26">
        <v>33</v>
      </c>
      <c r="AI26">
        <v>7</v>
      </c>
      <c r="AJ26">
        <v>77</v>
      </c>
      <c r="AK26">
        <v>71</v>
      </c>
      <c r="AL26">
        <v>6</v>
      </c>
      <c r="AM26">
        <v>46</v>
      </c>
      <c r="AN26">
        <v>42</v>
      </c>
      <c r="AO26">
        <v>4</v>
      </c>
      <c r="AP26">
        <v>51</v>
      </c>
      <c r="AQ26">
        <v>65</v>
      </c>
      <c r="AR26">
        <v>14</v>
      </c>
    </row>
    <row r="27" spans="1:44" x14ac:dyDescent="0.3">
      <c r="A27" s="1">
        <v>46171</v>
      </c>
      <c r="B27" t="s">
        <v>105</v>
      </c>
      <c r="C27">
        <v>47</v>
      </c>
      <c r="D27">
        <v>55</v>
      </c>
      <c r="E27">
        <v>8</v>
      </c>
      <c r="F27">
        <v>148</v>
      </c>
      <c r="G27">
        <v>140</v>
      </c>
      <c r="H27">
        <v>8</v>
      </c>
      <c r="I27">
        <v>188</v>
      </c>
      <c r="J27">
        <v>187</v>
      </c>
      <c r="K27">
        <v>1</v>
      </c>
      <c r="L27">
        <v>163</v>
      </c>
      <c r="M27">
        <v>154</v>
      </c>
      <c r="N27">
        <v>9</v>
      </c>
      <c r="O27">
        <v>53</v>
      </c>
      <c r="P27">
        <v>52.5</v>
      </c>
      <c r="Q27">
        <v>0.5</v>
      </c>
      <c r="R27">
        <v>139</v>
      </c>
      <c r="S27">
        <v>133</v>
      </c>
      <c r="T27">
        <v>6</v>
      </c>
      <c r="U27">
        <v>28</v>
      </c>
      <c r="V27">
        <v>27</v>
      </c>
      <c r="W27">
        <v>1</v>
      </c>
      <c r="X27">
        <v>94</v>
      </c>
      <c r="Y27">
        <v>97</v>
      </c>
      <c r="Z27">
        <v>3</v>
      </c>
      <c r="AA27">
        <v>84</v>
      </c>
      <c r="AB27">
        <v>86</v>
      </c>
      <c r="AC27">
        <v>2</v>
      </c>
      <c r="AD27">
        <v>41</v>
      </c>
      <c r="AE27">
        <v>43</v>
      </c>
      <c r="AF27">
        <v>2</v>
      </c>
      <c r="AG27">
        <v>41</v>
      </c>
      <c r="AH27">
        <v>34</v>
      </c>
      <c r="AI27">
        <v>7</v>
      </c>
      <c r="AJ27">
        <v>78</v>
      </c>
      <c r="AK27">
        <v>72</v>
      </c>
      <c r="AL27">
        <v>6</v>
      </c>
      <c r="AM27">
        <v>47</v>
      </c>
      <c r="AN27">
        <v>43</v>
      </c>
      <c r="AO27">
        <v>4</v>
      </c>
      <c r="AP27">
        <v>52</v>
      </c>
      <c r="AQ27">
        <v>66</v>
      </c>
      <c r="AR27">
        <v>14</v>
      </c>
    </row>
    <row r="28" spans="1:44" x14ac:dyDescent="0.3">
      <c r="A28" s="1">
        <v>46171</v>
      </c>
      <c r="B28" t="s">
        <v>107</v>
      </c>
      <c r="C28">
        <v>43</v>
      </c>
      <c r="D28">
        <v>51</v>
      </c>
      <c r="E28">
        <v>8</v>
      </c>
      <c r="F28">
        <v>144</v>
      </c>
      <c r="G28">
        <v>136</v>
      </c>
      <c r="H28">
        <v>8</v>
      </c>
      <c r="I28">
        <v>184</v>
      </c>
      <c r="J28">
        <v>183</v>
      </c>
      <c r="K28">
        <v>1</v>
      </c>
      <c r="L28">
        <v>159</v>
      </c>
      <c r="M28">
        <v>150</v>
      </c>
      <c r="N28">
        <v>9</v>
      </c>
      <c r="O28">
        <v>51</v>
      </c>
      <c r="P28">
        <v>50.5</v>
      </c>
      <c r="Q28">
        <v>0.5</v>
      </c>
      <c r="R28">
        <v>135</v>
      </c>
      <c r="S28">
        <v>129</v>
      </c>
      <c r="T28">
        <v>6</v>
      </c>
      <c r="U28">
        <v>24</v>
      </c>
      <c r="V28">
        <v>23</v>
      </c>
      <c r="W28">
        <v>1</v>
      </c>
      <c r="X28">
        <v>90</v>
      </c>
      <c r="Y28">
        <v>93</v>
      </c>
      <c r="Z28">
        <v>3</v>
      </c>
      <c r="AA28">
        <v>80</v>
      </c>
      <c r="AB28">
        <v>82</v>
      </c>
      <c r="AC28">
        <v>2</v>
      </c>
      <c r="AD28">
        <v>37</v>
      </c>
      <c r="AE28">
        <v>39</v>
      </c>
      <c r="AF28">
        <v>2</v>
      </c>
      <c r="AG28">
        <v>37</v>
      </c>
      <c r="AH28">
        <v>30</v>
      </c>
      <c r="AI28">
        <v>7</v>
      </c>
      <c r="AJ28">
        <v>74</v>
      </c>
      <c r="AK28">
        <v>68</v>
      </c>
      <c r="AL28">
        <v>6</v>
      </c>
      <c r="AM28">
        <v>43</v>
      </c>
      <c r="AN28">
        <v>39</v>
      </c>
      <c r="AO28">
        <v>4</v>
      </c>
      <c r="AP28">
        <v>48</v>
      </c>
      <c r="AQ28">
        <v>62</v>
      </c>
      <c r="AR28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29F8-B1DB-4366-901F-08EE69AF49F1}">
  <dimension ref="A1:AV87"/>
  <sheetViews>
    <sheetView tabSelected="1" workbookViewId="0">
      <pane xSplit="2" ySplit="1" topLeftCell="C64" activePane="bottomRight" state="frozen"/>
      <selection pane="topRight" activeCell="C1" sqref="C1"/>
      <selection pane="bottomLeft" activeCell="A2" sqref="A2"/>
      <selection pane="bottomRight" activeCell="AP90" sqref="AP90"/>
    </sheetView>
  </sheetViews>
  <sheetFormatPr defaultRowHeight="14.4" x14ac:dyDescent="0.3"/>
  <cols>
    <col min="1" max="1" width="9.33203125" style="1" bestFit="1" customWidth="1"/>
    <col min="2" max="2" width="9.33203125" bestFit="1" customWidth="1"/>
    <col min="3" max="3" width="4.44140625" bestFit="1" customWidth="1"/>
    <col min="4" max="4" width="7.109375" bestFit="1" customWidth="1"/>
    <col min="5" max="5" width="7.33203125" bestFit="1" customWidth="1"/>
    <col min="6" max="6" width="7.109375" bestFit="1" customWidth="1"/>
    <col min="7" max="7" width="7.33203125" bestFit="1" customWidth="1"/>
    <col min="8" max="8" width="6.88671875" bestFit="1" customWidth="1"/>
    <col min="9" max="9" width="6.77734375" bestFit="1" customWidth="1"/>
    <col min="10" max="10" width="6.5546875" bestFit="1" customWidth="1"/>
    <col min="11" max="11" width="6.77734375" bestFit="1" customWidth="1"/>
    <col min="12" max="12" width="6" bestFit="1" customWidth="1"/>
    <col min="13" max="13" width="6.21875" bestFit="1" customWidth="1"/>
    <col min="14" max="14" width="6" bestFit="1" customWidth="1"/>
    <col min="15" max="15" width="6.21875" bestFit="1" customWidth="1"/>
    <col min="16" max="16" width="7" bestFit="1" customWidth="1"/>
    <col min="17" max="17" width="16.33203125" bestFit="1" customWidth="1"/>
    <col min="18" max="18" width="18.77734375" bestFit="1" customWidth="1"/>
    <col min="19" max="19" width="12.109375" bestFit="1" customWidth="1"/>
    <col min="20" max="20" width="12.6640625" bestFit="1" customWidth="1"/>
    <col min="21" max="21" width="16.5546875" bestFit="1" customWidth="1"/>
    <col min="22" max="22" width="18.6640625" bestFit="1" customWidth="1"/>
    <col min="23" max="23" width="12.33203125" bestFit="1" customWidth="1"/>
    <col min="24" max="24" width="12.88671875" bestFit="1" customWidth="1"/>
    <col min="25" max="25" width="14.109375" bestFit="1" customWidth="1"/>
    <col min="26" max="26" width="16.109375" bestFit="1" customWidth="1"/>
    <col min="27" max="27" width="16.77734375" bestFit="1" customWidth="1"/>
    <col min="28" max="28" width="17" bestFit="1" customWidth="1"/>
    <col min="29" max="29" width="20.77734375" bestFit="1" customWidth="1"/>
    <col min="30" max="30" width="21.44140625" bestFit="1" customWidth="1"/>
    <col min="31" max="31" width="9.5546875" bestFit="1" customWidth="1"/>
    <col min="32" max="32" width="10.88671875" bestFit="1" customWidth="1"/>
    <col min="33" max="33" width="15.88671875" bestFit="1" customWidth="1"/>
    <col min="34" max="34" width="10.44140625" bestFit="1" customWidth="1"/>
    <col min="35" max="35" width="10.33203125" bestFit="1" customWidth="1"/>
    <col min="36" max="36" width="10.6640625" bestFit="1" customWidth="1"/>
    <col min="37" max="37" width="10.5546875" bestFit="1" customWidth="1"/>
    <col min="38" max="38" width="14.6640625" bestFit="1" customWidth="1"/>
    <col min="39" max="39" width="14.88671875" bestFit="1" customWidth="1"/>
    <col min="40" max="40" width="6.109375" bestFit="1" customWidth="1"/>
    <col min="41" max="41" width="21.33203125" bestFit="1" customWidth="1"/>
    <col min="42" max="42" width="13.6640625" bestFit="1" customWidth="1"/>
    <col min="43" max="43" width="7" bestFit="1" customWidth="1"/>
    <col min="44" max="44" width="21.33203125" bestFit="1" customWidth="1"/>
    <col min="45" max="45" width="12" bestFit="1" customWidth="1"/>
  </cols>
  <sheetData>
    <row r="1" spans="1:48" x14ac:dyDescent="0.3">
      <c r="A1" s="1" t="s">
        <v>0</v>
      </c>
      <c r="B1" t="s">
        <v>1</v>
      </c>
      <c r="C1" t="s">
        <v>86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92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71</v>
      </c>
      <c r="AD1" t="s">
        <v>72</v>
      </c>
      <c r="AE1" t="s">
        <v>69</v>
      </c>
      <c r="AF1" t="s">
        <v>70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82</v>
      </c>
      <c r="AP1" t="s">
        <v>81</v>
      </c>
      <c r="AQ1" t="s">
        <v>83</v>
      </c>
      <c r="AR1" t="s">
        <v>85</v>
      </c>
      <c r="AS1" t="s">
        <v>84</v>
      </c>
      <c r="AT1" t="s">
        <v>95</v>
      </c>
      <c r="AU1" t="s">
        <v>96</v>
      </c>
      <c r="AV1" t="s">
        <v>97</v>
      </c>
    </row>
    <row r="2" spans="1:48" x14ac:dyDescent="0.3">
      <c r="A2" s="1">
        <v>46176</v>
      </c>
      <c r="B2" t="s">
        <v>102</v>
      </c>
      <c r="C2" t="s">
        <v>87</v>
      </c>
      <c r="D2">
        <v>156</v>
      </c>
      <c r="E2">
        <v>126</v>
      </c>
      <c r="F2">
        <v>157</v>
      </c>
      <c r="G2">
        <v>137</v>
      </c>
      <c r="Q2">
        <v>179.73</v>
      </c>
      <c r="R2">
        <v>65.569000000000003</v>
      </c>
      <c r="S2">
        <v>84.216999999999999</v>
      </c>
      <c r="T2">
        <v>85.41</v>
      </c>
      <c r="U2">
        <v>174.54599999999999</v>
      </c>
      <c r="V2">
        <v>56.295000000000002</v>
      </c>
      <c r="W2">
        <v>78.599000000000004</v>
      </c>
      <c r="X2">
        <v>94.385999999999996</v>
      </c>
      <c r="AA2">
        <v>59.665999999999997</v>
      </c>
      <c r="AB2">
        <v>61.692</v>
      </c>
      <c r="AC2">
        <v>5.782</v>
      </c>
      <c r="AD2">
        <v>4.8369999999999997</v>
      </c>
      <c r="AP2" t="str">
        <f>IFERROR((AN2/100)/AO2,"")</f>
        <v/>
      </c>
      <c r="AS2" t="str">
        <f t="shared" ref="AS2:AS26" si="0">IFERROR((AQ2/100)/AR2, "")</f>
        <v/>
      </c>
      <c r="AT2">
        <f>IF(S2+T2=0," ", S2+T2)</f>
        <v>169.62700000000001</v>
      </c>
      <c r="AU2">
        <f>IF(W2+X2=0, " ", W2+X2)</f>
        <v>172.98500000000001</v>
      </c>
      <c r="AV2" t="str">
        <f>IFERROR((MAX(H2,J2))/(MAX(L2,N2)), " ")</f>
        <v xml:space="preserve"> </v>
      </c>
    </row>
    <row r="3" spans="1:48" x14ac:dyDescent="0.3">
      <c r="A3" s="1">
        <v>46177</v>
      </c>
      <c r="B3" t="s">
        <v>100</v>
      </c>
      <c r="C3" t="s">
        <v>87</v>
      </c>
      <c r="D3">
        <v>124</v>
      </c>
      <c r="E3">
        <v>126</v>
      </c>
      <c r="F3">
        <v>120</v>
      </c>
      <c r="G3">
        <v>122</v>
      </c>
      <c r="H3">
        <v>159</v>
      </c>
      <c r="I3">
        <v>118</v>
      </c>
      <c r="J3">
        <v>173</v>
      </c>
      <c r="K3">
        <v>107</v>
      </c>
      <c r="L3">
        <v>234</v>
      </c>
      <c r="M3">
        <v>256</v>
      </c>
      <c r="N3">
        <v>273</v>
      </c>
      <c r="O3">
        <v>234</v>
      </c>
      <c r="U3">
        <v>198.21199999999999</v>
      </c>
      <c r="V3">
        <v>63.48</v>
      </c>
      <c r="W3">
        <v>61.079000000000001</v>
      </c>
      <c r="X3">
        <v>124.986</v>
      </c>
      <c r="Y3">
        <v>65.477999999999994</v>
      </c>
      <c r="Z3">
        <v>59.381</v>
      </c>
      <c r="AA3">
        <v>70.078000000000003</v>
      </c>
      <c r="AB3">
        <v>65.957999999999998</v>
      </c>
      <c r="AC3">
        <v>3.48</v>
      </c>
      <c r="AD3">
        <v>5.1120000000000001</v>
      </c>
      <c r="AE3">
        <v>1.42</v>
      </c>
      <c r="AF3">
        <v>162.48099999999999</v>
      </c>
      <c r="AG3">
        <v>28.491</v>
      </c>
      <c r="AH3">
        <v>1.629</v>
      </c>
      <c r="AI3">
        <v>20.835999999999999</v>
      </c>
      <c r="AJ3">
        <v>14.397</v>
      </c>
      <c r="AK3">
        <v>21.196000000000002</v>
      </c>
      <c r="AL3">
        <v>48.168999999999997</v>
      </c>
      <c r="AM3">
        <v>51.276000000000003</v>
      </c>
      <c r="AN3">
        <v>20.16</v>
      </c>
      <c r="AO3">
        <v>0.68300000000000005</v>
      </c>
      <c r="AP3" s="3">
        <f>IFERROR((AN3/100)/AO3,"")</f>
        <v>0.29516837481698388</v>
      </c>
      <c r="AQ3">
        <v>20.039000000000001</v>
      </c>
      <c r="AR3">
        <v>0.77500000000000002</v>
      </c>
      <c r="AS3">
        <f t="shared" si="0"/>
        <v>0.25856774193548387</v>
      </c>
      <c r="AT3" t="str">
        <f t="shared" ref="AS3:AT60" si="1">IF(S3+T3=0," ", S3+T3)</f>
        <v xml:space="preserve"> </v>
      </c>
      <c r="AU3">
        <f t="shared" ref="AT3:AU60" si="2">IF(W3+X3=0, " ", W3+X3)</f>
        <v>186.065</v>
      </c>
      <c r="AV3">
        <f t="shared" ref="AV3:AV66" si="3">IFERROR((MAX(H3,J3))/(MAX(L3,N3)), " ")</f>
        <v>0.63369963369963367</v>
      </c>
    </row>
    <row r="4" spans="1:48" x14ac:dyDescent="0.3">
      <c r="A4" s="1">
        <v>46177</v>
      </c>
      <c r="B4" t="s">
        <v>110</v>
      </c>
      <c r="C4" t="s">
        <v>87</v>
      </c>
      <c r="D4">
        <v>122</v>
      </c>
      <c r="E4">
        <v>127</v>
      </c>
      <c r="F4">
        <v>118</v>
      </c>
      <c r="G4">
        <v>119</v>
      </c>
      <c r="H4">
        <v>157</v>
      </c>
      <c r="I4">
        <v>146</v>
      </c>
      <c r="J4">
        <v>158</v>
      </c>
      <c r="K4">
        <v>151</v>
      </c>
      <c r="L4">
        <v>228</v>
      </c>
      <c r="M4">
        <v>224</v>
      </c>
      <c r="N4">
        <v>182</v>
      </c>
      <c r="O4">
        <v>217</v>
      </c>
      <c r="Q4">
        <v>196.214</v>
      </c>
      <c r="R4">
        <v>77.566999999999993</v>
      </c>
      <c r="S4">
        <v>112.992</v>
      </c>
      <c r="T4">
        <v>101.86499999999999</v>
      </c>
      <c r="U4">
        <v>199.25899999999999</v>
      </c>
      <c r="V4">
        <v>73.77</v>
      </c>
      <c r="W4">
        <v>90.254000000000005</v>
      </c>
      <c r="X4">
        <v>135.08099999999999</v>
      </c>
      <c r="Y4">
        <v>66.203000000000003</v>
      </c>
      <c r="Z4">
        <v>80.661000000000001</v>
      </c>
      <c r="AA4">
        <v>71.853999999999999</v>
      </c>
      <c r="AB4">
        <v>72.838999999999999</v>
      </c>
      <c r="AC4">
        <v>6.04</v>
      </c>
      <c r="AD4">
        <v>3.1829999999999998</v>
      </c>
      <c r="AE4">
        <v>-4.3360000000000003</v>
      </c>
      <c r="AF4">
        <v>167.166</v>
      </c>
      <c r="AG4">
        <v>34.409999999999997</v>
      </c>
      <c r="AH4">
        <v>-5.9640000000000004</v>
      </c>
      <c r="AI4">
        <v>21.44</v>
      </c>
      <c r="AJ4">
        <v>-4.0979999999999999</v>
      </c>
      <c r="AK4">
        <v>18.852</v>
      </c>
      <c r="AL4">
        <v>31.672000000000001</v>
      </c>
      <c r="AM4">
        <v>24.824999999999999</v>
      </c>
      <c r="AN4">
        <v>22.027999999999999</v>
      </c>
      <c r="AO4">
        <v>0.85</v>
      </c>
      <c r="AP4" s="3">
        <f t="shared" ref="AP4:AP5" si="4">IFERROR((AN4/100)/AO4,"")</f>
        <v>0.25915294117647059</v>
      </c>
      <c r="AQ4">
        <v>21.954000000000001</v>
      </c>
      <c r="AR4">
        <v>0.77500000000000002</v>
      </c>
      <c r="AS4">
        <f t="shared" si="0"/>
        <v>0.28327741935483874</v>
      </c>
      <c r="AT4">
        <f t="shared" si="1"/>
        <v>214.857</v>
      </c>
      <c r="AU4">
        <f t="shared" si="2"/>
        <v>225.33499999999998</v>
      </c>
      <c r="AV4">
        <f t="shared" si="3"/>
        <v>0.69298245614035092</v>
      </c>
    </row>
    <row r="5" spans="1:48" x14ac:dyDescent="0.3">
      <c r="A5" s="1">
        <v>46178</v>
      </c>
      <c r="B5" t="s">
        <v>107</v>
      </c>
      <c r="C5" t="s">
        <v>89</v>
      </c>
      <c r="G5" t="s">
        <v>53</v>
      </c>
      <c r="H5">
        <v>101</v>
      </c>
      <c r="I5">
        <v>108</v>
      </c>
      <c r="J5">
        <v>128</v>
      </c>
      <c r="K5">
        <v>99</v>
      </c>
      <c r="L5">
        <v>274</v>
      </c>
      <c r="M5">
        <v>302</v>
      </c>
      <c r="N5">
        <v>251</v>
      </c>
      <c r="O5">
        <v>279</v>
      </c>
      <c r="P5">
        <v>54</v>
      </c>
      <c r="Q5">
        <v>205.905</v>
      </c>
      <c r="R5">
        <v>60.405000000000001</v>
      </c>
      <c r="S5">
        <v>96.254999999999995</v>
      </c>
      <c r="T5">
        <v>94.245000000000005</v>
      </c>
      <c r="U5">
        <v>198.334</v>
      </c>
      <c r="V5">
        <v>56.517000000000003</v>
      </c>
      <c r="W5">
        <v>45.777999999999999</v>
      </c>
      <c r="X5">
        <v>108.78400000000001</v>
      </c>
      <c r="Y5">
        <v>55.057000000000002</v>
      </c>
      <c r="Z5">
        <v>49.671999999999997</v>
      </c>
      <c r="AA5">
        <v>60.624000000000002</v>
      </c>
      <c r="AB5">
        <v>64.212999999999994</v>
      </c>
      <c r="AC5">
        <v>3.4910000000000001</v>
      </c>
      <c r="AD5">
        <v>2.65</v>
      </c>
      <c r="AE5">
        <v>-5.7329999999999997</v>
      </c>
      <c r="AF5">
        <v>148.63200000000001</v>
      </c>
      <c r="AG5">
        <v>17.498000000000001</v>
      </c>
      <c r="AH5">
        <v>-8.4369999999999994</v>
      </c>
      <c r="AI5">
        <v>24.114999999999998</v>
      </c>
      <c r="AJ5">
        <v>12.622</v>
      </c>
      <c r="AK5">
        <v>23.713000000000001</v>
      </c>
      <c r="AL5">
        <v>45.752000000000002</v>
      </c>
      <c r="AM5">
        <v>46.868000000000002</v>
      </c>
      <c r="AN5">
        <v>18.396999999999998</v>
      </c>
      <c r="AO5">
        <v>0.54200000000000004</v>
      </c>
      <c r="AP5" s="3">
        <f t="shared" si="4"/>
        <v>0.33942804428044276</v>
      </c>
      <c r="AQ5">
        <v>19.544</v>
      </c>
      <c r="AR5">
        <v>0.60799999999999998</v>
      </c>
      <c r="AS5">
        <f t="shared" si="0"/>
        <v>0.32144736842105265</v>
      </c>
      <c r="AT5">
        <f t="shared" si="1"/>
        <v>190.5</v>
      </c>
      <c r="AU5">
        <f t="shared" si="2"/>
        <v>154.56200000000001</v>
      </c>
      <c r="AV5">
        <f t="shared" si="3"/>
        <v>0.46715328467153283</v>
      </c>
    </row>
    <row r="6" spans="1:48" x14ac:dyDescent="0.3">
      <c r="A6" s="1">
        <v>46178</v>
      </c>
      <c r="B6" t="s">
        <v>100</v>
      </c>
      <c r="C6" t="s">
        <v>89</v>
      </c>
      <c r="H6">
        <v>151</v>
      </c>
      <c r="I6">
        <v>153</v>
      </c>
      <c r="J6">
        <v>159</v>
      </c>
      <c r="K6">
        <v>127</v>
      </c>
      <c r="L6">
        <v>253</v>
      </c>
      <c r="M6">
        <v>214</v>
      </c>
      <c r="N6">
        <v>244</v>
      </c>
      <c r="O6">
        <v>268</v>
      </c>
      <c r="P6">
        <v>20</v>
      </c>
      <c r="AA6">
        <v>70.078000000000003</v>
      </c>
      <c r="AB6">
        <v>65.957999999999998</v>
      </c>
      <c r="AC6">
        <v>2.7349999999999999</v>
      </c>
      <c r="AD6">
        <v>6.01</v>
      </c>
      <c r="AP6" t="str">
        <f t="shared" ref="AP6:AP17" si="5">IFERROR((AN6/100)/AO6,"")</f>
        <v/>
      </c>
      <c r="AS6" t="str">
        <f t="shared" si="0"/>
        <v/>
      </c>
      <c r="AT6" t="str">
        <f t="shared" si="1"/>
        <v xml:space="preserve"> </v>
      </c>
      <c r="AU6" t="str">
        <f t="shared" si="2"/>
        <v xml:space="preserve"> </v>
      </c>
      <c r="AV6">
        <f t="shared" si="3"/>
        <v>0.62845849802371545</v>
      </c>
    </row>
    <row r="7" spans="1:48" x14ac:dyDescent="0.3">
      <c r="A7" s="1">
        <v>46178</v>
      </c>
      <c r="B7" t="s">
        <v>105</v>
      </c>
      <c r="C7" t="s">
        <v>91</v>
      </c>
      <c r="H7">
        <v>163</v>
      </c>
      <c r="I7">
        <v>144</v>
      </c>
      <c r="J7">
        <v>160</v>
      </c>
      <c r="K7">
        <v>141</v>
      </c>
      <c r="L7">
        <v>274</v>
      </c>
      <c r="M7">
        <v>229</v>
      </c>
      <c r="N7">
        <v>276</v>
      </c>
      <c r="O7">
        <v>240</v>
      </c>
      <c r="P7">
        <v>55</v>
      </c>
      <c r="Q7">
        <v>174.286</v>
      </c>
      <c r="R7">
        <v>64.495999999999995</v>
      </c>
      <c r="S7">
        <v>63.463999999999999</v>
      </c>
      <c r="T7">
        <v>107.642</v>
      </c>
      <c r="U7">
        <v>169.798</v>
      </c>
      <c r="V7">
        <v>39.859000000000002</v>
      </c>
      <c r="W7">
        <v>85.331999999999994</v>
      </c>
      <c r="X7">
        <v>103.03700000000001</v>
      </c>
      <c r="Y7">
        <v>50.622999999999998</v>
      </c>
      <c r="Z7">
        <v>42.151000000000003</v>
      </c>
      <c r="AA7">
        <v>63.384999999999998</v>
      </c>
      <c r="AB7">
        <v>61.228000000000002</v>
      </c>
      <c r="AC7">
        <v>8.4960000000000004</v>
      </c>
      <c r="AD7">
        <v>7.3230000000000004</v>
      </c>
      <c r="AE7">
        <v>0.28699999999999998</v>
      </c>
      <c r="AF7">
        <v>145.90600000000001</v>
      </c>
      <c r="AG7">
        <v>23.414000000000001</v>
      </c>
      <c r="AH7">
        <v>1.3680000000000001</v>
      </c>
      <c r="AI7">
        <v>15.471</v>
      </c>
      <c r="AJ7">
        <v>3.4649999999999999</v>
      </c>
      <c r="AK7">
        <v>24.297000000000001</v>
      </c>
      <c r="AL7">
        <v>43.905999999999999</v>
      </c>
      <c r="AM7">
        <v>31.332000000000001</v>
      </c>
      <c r="AN7">
        <v>23.609000000000002</v>
      </c>
      <c r="AO7">
        <v>0.67500000000000004</v>
      </c>
      <c r="AP7" s="3">
        <f t="shared" si="5"/>
        <v>0.349762962962963</v>
      </c>
      <c r="AQ7">
        <v>23.853000000000002</v>
      </c>
      <c r="AR7">
        <v>0.75800000000000001</v>
      </c>
      <c r="AS7">
        <f t="shared" si="0"/>
        <v>0.31468337730870716</v>
      </c>
      <c r="AT7">
        <f t="shared" si="1"/>
        <v>171.10599999999999</v>
      </c>
      <c r="AU7">
        <f t="shared" si="2"/>
        <v>188.369</v>
      </c>
      <c r="AV7">
        <f t="shared" si="3"/>
        <v>0.59057971014492749</v>
      </c>
    </row>
    <row r="8" spans="1:48" x14ac:dyDescent="0.3">
      <c r="A8" s="1">
        <v>46179</v>
      </c>
      <c r="B8" t="s">
        <v>101</v>
      </c>
      <c r="C8" t="s">
        <v>89</v>
      </c>
      <c r="H8">
        <v>135</v>
      </c>
      <c r="I8">
        <v>105</v>
      </c>
      <c r="J8">
        <v>134</v>
      </c>
      <c r="K8">
        <v>101</v>
      </c>
      <c r="L8">
        <v>234</v>
      </c>
      <c r="M8">
        <v>141</v>
      </c>
      <c r="N8">
        <v>254</v>
      </c>
      <c r="O8">
        <v>122</v>
      </c>
      <c r="P8">
        <v>46</v>
      </c>
      <c r="Q8">
        <v>191.32900000000001</v>
      </c>
      <c r="R8">
        <v>63.628999999999998</v>
      </c>
      <c r="S8">
        <v>101.21899999999999</v>
      </c>
      <c r="T8">
        <v>109.764</v>
      </c>
      <c r="U8">
        <v>149.77500000000001</v>
      </c>
      <c r="V8">
        <v>42.433</v>
      </c>
      <c r="W8">
        <v>77.644999999999996</v>
      </c>
      <c r="X8">
        <v>115.426</v>
      </c>
      <c r="Y8">
        <v>56.887</v>
      </c>
      <c r="Z8">
        <v>54.526000000000003</v>
      </c>
      <c r="AA8">
        <v>57.503999999999998</v>
      </c>
      <c r="AB8">
        <v>63.124000000000002</v>
      </c>
      <c r="AC8">
        <v>5.15</v>
      </c>
      <c r="AD8">
        <v>3.677</v>
      </c>
      <c r="AE8">
        <v>0.93200000000000005</v>
      </c>
      <c r="AF8">
        <v>142.649</v>
      </c>
      <c r="AG8">
        <v>28.474</v>
      </c>
      <c r="AH8">
        <v>3.61</v>
      </c>
      <c r="AI8">
        <v>22.596</v>
      </c>
      <c r="AJ8">
        <v>-51.040999999999997</v>
      </c>
      <c r="AK8">
        <v>29.318999999999999</v>
      </c>
      <c r="AL8">
        <v>37.948</v>
      </c>
      <c r="AM8">
        <v>28.306000000000001</v>
      </c>
      <c r="AN8">
        <v>23.9</v>
      </c>
      <c r="AO8">
        <v>0.80800000000000005</v>
      </c>
      <c r="AP8" s="3">
        <f t="shared" si="5"/>
        <v>0.29579207920792078</v>
      </c>
      <c r="AQ8">
        <v>23.268000000000001</v>
      </c>
      <c r="AR8">
        <v>0.92500000000000004</v>
      </c>
      <c r="AS8">
        <f t="shared" si="0"/>
        <v>0.25154594594594593</v>
      </c>
      <c r="AT8">
        <f t="shared" si="1"/>
        <v>210.983</v>
      </c>
      <c r="AU8">
        <f t="shared" si="2"/>
        <v>193.071</v>
      </c>
      <c r="AV8">
        <f t="shared" si="3"/>
        <v>0.53149606299212604</v>
      </c>
    </row>
    <row r="9" spans="1:48" x14ac:dyDescent="0.3">
      <c r="A9" s="1">
        <v>46179</v>
      </c>
      <c r="B9" t="s">
        <v>103</v>
      </c>
      <c r="C9" t="s">
        <v>91</v>
      </c>
      <c r="P9">
        <v>31</v>
      </c>
      <c r="Q9">
        <v>161.792</v>
      </c>
      <c r="R9">
        <v>45.18</v>
      </c>
      <c r="S9">
        <v>59.052</v>
      </c>
      <c r="T9">
        <v>94.537000000000006</v>
      </c>
      <c r="U9">
        <v>166.12</v>
      </c>
      <c r="V9">
        <v>47.941000000000003</v>
      </c>
      <c r="W9">
        <v>56.101999999999997</v>
      </c>
      <c r="X9">
        <v>118.66200000000001</v>
      </c>
      <c r="Y9">
        <v>41.371000000000002</v>
      </c>
      <c r="Z9">
        <v>36.566000000000003</v>
      </c>
      <c r="AA9">
        <v>58.905000000000001</v>
      </c>
      <c r="AB9">
        <v>61.426000000000002</v>
      </c>
      <c r="AC9">
        <v>2.8959999999999999</v>
      </c>
      <c r="AD9">
        <v>3.004</v>
      </c>
      <c r="AE9">
        <v>3.246</v>
      </c>
      <c r="AF9">
        <v>164.24100000000001</v>
      </c>
      <c r="AG9">
        <v>30.172999999999998</v>
      </c>
      <c r="AH9">
        <v>-4.9790000000000001</v>
      </c>
      <c r="AI9">
        <v>23.542999999999999</v>
      </c>
      <c r="AJ9">
        <v>2.0270000000000001</v>
      </c>
      <c r="AK9">
        <v>31.954999999999998</v>
      </c>
      <c r="AL9">
        <v>34.356000000000002</v>
      </c>
      <c r="AM9">
        <v>32.719000000000001</v>
      </c>
      <c r="AN9">
        <v>19.009</v>
      </c>
      <c r="AO9">
        <v>0.77500000000000002</v>
      </c>
      <c r="AP9" s="3">
        <f t="shared" si="5"/>
        <v>0.24527741935483871</v>
      </c>
      <c r="AQ9">
        <v>19.186</v>
      </c>
      <c r="AR9">
        <v>0.8</v>
      </c>
      <c r="AS9">
        <f t="shared" si="0"/>
        <v>0.23982499999999998</v>
      </c>
      <c r="AT9">
        <f t="shared" si="1"/>
        <v>153.589</v>
      </c>
      <c r="AU9">
        <f t="shared" si="2"/>
        <v>174.76400000000001</v>
      </c>
      <c r="AV9" t="str">
        <f t="shared" si="3"/>
        <v xml:space="preserve"> </v>
      </c>
    </row>
    <row r="10" spans="1:48" x14ac:dyDescent="0.3">
      <c r="A10" s="1">
        <v>46179</v>
      </c>
      <c r="B10" t="s">
        <v>106</v>
      </c>
      <c r="C10" t="s">
        <v>89</v>
      </c>
      <c r="H10">
        <v>185</v>
      </c>
      <c r="I10">
        <v>130</v>
      </c>
      <c r="J10">
        <v>179</v>
      </c>
      <c r="K10">
        <v>121</v>
      </c>
      <c r="L10">
        <v>243</v>
      </c>
      <c r="M10">
        <v>213</v>
      </c>
      <c r="N10">
        <v>202</v>
      </c>
      <c r="O10">
        <v>238</v>
      </c>
      <c r="Q10">
        <v>177.41800000000001</v>
      </c>
      <c r="R10">
        <v>51.244999999999997</v>
      </c>
      <c r="S10">
        <v>90.75</v>
      </c>
      <c r="T10">
        <v>113.684</v>
      </c>
      <c r="U10">
        <v>171.34100000000001</v>
      </c>
      <c r="V10">
        <v>50.156999999999996</v>
      </c>
      <c r="W10">
        <v>87.593999999999994</v>
      </c>
      <c r="X10">
        <v>136.57900000000001</v>
      </c>
      <c r="Y10">
        <v>72.341999999999999</v>
      </c>
      <c r="Z10">
        <v>67.158000000000001</v>
      </c>
      <c r="AA10">
        <v>71.561999999999998</v>
      </c>
      <c r="AB10">
        <v>73.141000000000005</v>
      </c>
      <c r="AC10">
        <v>2.3260000000000001</v>
      </c>
      <c r="AD10">
        <v>4.8019999999999996</v>
      </c>
      <c r="AE10">
        <v>-1.046</v>
      </c>
      <c r="AF10">
        <v>144.99100000000001</v>
      </c>
      <c r="AG10">
        <v>37.783999999999999</v>
      </c>
      <c r="AH10">
        <v>-10.249000000000001</v>
      </c>
      <c r="AI10">
        <v>26.885000000000002</v>
      </c>
      <c r="AJ10">
        <v>9.4779999999999998</v>
      </c>
      <c r="AK10">
        <v>25.977</v>
      </c>
      <c r="AL10">
        <v>40.636000000000003</v>
      </c>
      <c r="AM10">
        <v>30.88</v>
      </c>
      <c r="AN10">
        <v>23.335000000000001</v>
      </c>
      <c r="AO10">
        <v>0.65800000000000003</v>
      </c>
      <c r="AP10" s="3">
        <f t="shared" si="5"/>
        <v>0.35463525835866261</v>
      </c>
      <c r="AQ10">
        <v>22.274000000000001</v>
      </c>
      <c r="AR10">
        <v>0.66700000000000004</v>
      </c>
      <c r="AS10">
        <f t="shared" si="0"/>
        <v>0.33394302848575713</v>
      </c>
      <c r="AT10">
        <f t="shared" si="1"/>
        <v>204.434</v>
      </c>
      <c r="AU10">
        <f t="shared" si="2"/>
        <v>224.173</v>
      </c>
      <c r="AV10">
        <f t="shared" si="3"/>
        <v>0.76131687242798352</v>
      </c>
    </row>
    <row r="11" spans="1:48" x14ac:dyDescent="0.3">
      <c r="A11" s="1">
        <v>46180</v>
      </c>
      <c r="B11" t="s">
        <v>105</v>
      </c>
      <c r="C11" t="s">
        <v>90</v>
      </c>
      <c r="H11">
        <v>163</v>
      </c>
      <c r="I11">
        <v>144</v>
      </c>
      <c r="J11">
        <v>160</v>
      </c>
      <c r="K11">
        <v>141</v>
      </c>
      <c r="L11">
        <v>274</v>
      </c>
      <c r="M11">
        <v>229</v>
      </c>
      <c r="N11">
        <v>276</v>
      </c>
      <c r="O11">
        <v>240</v>
      </c>
      <c r="Q11">
        <v>179.244</v>
      </c>
      <c r="R11">
        <v>60.218000000000004</v>
      </c>
      <c r="S11">
        <v>71.700999999999993</v>
      </c>
      <c r="T11">
        <v>102.45699999999999</v>
      </c>
      <c r="U11">
        <v>178.69399999999999</v>
      </c>
      <c r="V11">
        <v>49.774999999999999</v>
      </c>
      <c r="W11">
        <v>54.411000000000001</v>
      </c>
      <c r="X11">
        <v>106.661</v>
      </c>
      <c r="AA11">
        <v>64.739000000000004</v>
      </c>
      <c r="AB11">
        <v>63.905999999999999</v>
      </c>
      <c r="AC11">
        <v>8.5939999999999994</v>
      </c>
      <c r="AD11">
        <v>3.5390000000000001</v>
      </c>
      <c r="AP11" t="str">
        <f t="shared" si="5"/>
        <v/>
      </c>
      <c r="AS11" t="str">
        <f t="shared" si="0"/>
        <v/>
      </c>
      <c r="AT11">
        <f t="shared" si="1"/>
        <v>174.15799999999999</v>
      </c>
      <c r="AU11">
        <f t="shared" si="2"/>
        <v>161.072</v>
      </c>
      <c r="AV11">
        <f t="shared" si="3"/>
        <v>0.59057971014492749</v>
      </c>
    </row>
    <row r="12" spans="1:48" x14ac:dyDescent="0.3">
      <c r="A12" s="1">
        <v>46180</v>
      </c>
      <c r="B12" t="s">
        <v>102</v>
      </c>
      <c r="C12" t="s">
        <v>89</v>
      </c>
      <c r="H12">
        <v>146</v>
      </c>
      <c r="I12">
        <v>130</v>
      </c>
      <c r="J12">
        <v>147</v>
      </c>
      <c r="K12">
        <v>133</v>
      </c>
      <c r="L12">
        <v>231</v>
      </c>
      <c r="M12">
        <v>243</v>
      </c>
      <c r="N12">
        <v>220</v>
      </c>
      <c r="O12">
        <v>253</v>
      </c>
      <c r="P12">
        <v>34</v>
      </c>
      <c r="Q12">
        <v>175.92500000000001</v>
      </c>
      <c r="R12">
        <v>61.707999999999998</v>
      </c>
      <c r="S12">
        <v>77.221000000000004</v>
      </c>
      <c r="T12">
        <v>68.727999999999994</v>
      </c>
      <c r="U12">
        <v>166.608</v>
      </c>
      <c r="V12">
        <v>68.828000000000003</v>
      </c>
      <c r="W12">
        <v>89.929000000000002</v>
      </c>
      <c r="X12">
        <v>90.466999999999999</v>
      </c>
      <c r="Y12">
        <v>64.664000000000001</v>
      </c>
      <c r="Z12">
        <v>55.966999999999999</v>
      </c>
      <c r="AA12">
        <v>70.837999999999994</v>
      </c>
      <c r="AB12">
        <v>64.296000000000006</v>
      </c>
      <c r="AC12">
        <v>5.782</v>
      </c>
      <c r="AD12">
        <v>4.8369999999999997</v>
      </c>
      <c r="AE12">
        <v>-14.336</v>
      </c>
      <c r="AF12">
        <v>169.75800000000001</v>
      </c>
      <c r="AG12">
        <v>36.770000000000003</v>
      </c>
      <c r="AH12">
        <v>-8.4459999999999997</v>
      </c>
      <c r="AI12">
        <v>18.539000000000001</v>
      </c>
      <c r="AJ12">
        <v>2.2330000000000001</v>
      </c>
      <c r="AK12">
        <v>30.695</v>
      </c>
      <c r="AL12">
        <v>44.173000000000002</v>
      </c>
      <c r="AM12">
        <v>53.082000000000001</v>
      </c>
      <c r="AN12">
        <v>20.972000000000001</v>
      </c>
      <c r="AO12">
        <v>0.68300000000000005</v>
      </c>
      <c r="AP12">
        <f t="shared" si="5"/>
        <v>0.3070571010248902</v>
      </c>
      <c r="AQ12">
        <v>22.164000000000001</v>
      </c>
      <c r="AR12">
        <v>0.72499999999999998</v>
      </c>
      <c r="AS12">
        <f t="shared" si="0"/>
        <v>0.30571034482758624</v>
      </c>
      <c r="AT12">
        <f t="shared" si="1"/>
        <v>145.94900000000001</v>
      </c>
      <c r="AU12">
        <f t="shared" si="2"/>
        <v>180.39600000000002</v>
      </c>
      <c r="AV12">
        <f t="shared" si="3"/>
        <v>0.63636363636363635</v>
      </c>
    </row>
    <row r="13" spans="1:48" x14ac:dyDescent="0.3">
      <c r="A13" s="1">
        <v>46180</v>
      </c>
      <c r="B13" t="s">
        <v>110</v>
      </c>
      <c r="C13" t="s">
        <v>89</v>
      </c>
      <c r="H13">
        <v>141</v>
      </c>
      <c r="I13">
        <v>146</v>
      </c>
      <c r="J13">
        <v>132</v>
      </c>
      <c r="K13">
        <v>138</v>
      </c>
      <c r="L13">
        <v>247</v>
      </c>
      <c r="M13">
        <v>200</v>
      </c>
      <c r="N13">
        <v>232</v>
      </c>
      <c r="O13">
        <v>221</v>
      </c>
      <c r="P13">
        <v>38</v>
      </c>
      <c r="Q13">
        <v>207.37899999999999</v>
      </c>
      <c r="R13">
        <v>93.186000000000007</v>
      </c>
      <c r="S13">
        <v>112.886</v>
      </c>
      <c r="T13">
        <v>115.631</v>
      </c>
      <c r="U13">
        <v>186.185</v>
      </c>
      <c r="V13">
        <v>104.244</v>
      </c>
      <c r="W13">
        <v>105.693</v>
      </c>
      <c r="X13">
        <v>122.288</v>
      </c>
      <c r="AA13">
        <v>71.853999999999999</v>
      </c>
      <c r="AB13">
        <v>72.838999999999999</v>
      </c>
      <c r="AC13">
        <v>3.2679999999999998</v>
      </c>
      <c r="AD13">
        <v>3.032</v>
      </c>
      <c r="AP13" t="str">
        <f t="shared" si="5"/>
        <v/>
      </c>
      <c r="AS13" t="str">
        <f t="shared" si="0"/>
        <v/>
      </c>
      <c r="AT13">
        <f t="shared" si="1"/>
        <v>228.517</v>
      </c>
      <c r="AU13">
        <f t="shared" si="2"/>
        <v>227.98099999999999</v>
      </c>
      <c r="AV13">
        <f t="shared" si="3"/>
        <v>0.57085020242914974</v>
      </c>
    </row>
    <row r="14" spans="1:48" x14ac:dyDescent="0.3">
      <c r="A14" s="1">
        <v>46181</v>
      </c>
      <c r="B14" t="s">
        <v>103</v>
      </c>
      <c r="C14" t="s">
        <v>90</v>
      </c>
      <c r="D14">
        <v>145</v>
      </c>
      <c r="E14">
        <v>139</v>
      </c>
      <c r="F14">
        <v>130</v>
      </c>
      <c r="G14">
        <v>110</v>
      </c>
      <c r="AP14" t="str">
        <f t="shared" si="5"/>
        <v/>
      </c>
      <c r="AS14" t="str">
        <f t="shared" si="0"/>
        <v/>
      </c>
      <c r="AT14" t="str">
        <f t="shared" si="1"/>
        <v xml:space="preserve"> </v>
      </c>
      <c r="AU14" t="str">
        <f t="shared" si="2"/>
        <v xml:space="preserve"> </v>
      </c>
      <c r="AV14" t="str">
        <f t="shared" si="3"/>
        <v xml:space="preserve"> </v>
      </c>
    </row>
    <row r="15" spans="1:48" x14ac:dyDescent="0.3">
      <c r="A15" s="1">
        <v>46181</v>
      </c>
      <c r="B15" t="s">
        <v>106</v>
      </c>
      <c r="C15" t="s">
        <v>89</v>
      </c>
      <c r="H15">
        <v>185</v>
      </c>
      <c r="I15">
        <v>130</v>
      </c>
      <c r="J15">
        <v>179</v>
      </c>
      <c r="K15">
        <v>121</v>
      </c>
      <c r="L15">
        <v>243</v>
      </c>
      <c r="M15">
        <v>213</v>
      </c>
      <c r="N15">
        <v>202</v>
      </c>
      <c r="O15">
        <v>238</v>
      </c>
      <c r="P15">
        <v>14</v>
      </c>
      <c r="Q15">
        <v>180.77500000000001</v>
      </c>
      <c r="R15">
        <v>48.116999999999997</v>
      </c>
      <c r="S15">
        <v>77.325000000000003</v>
      </c>
      <c r="T15">
        <v>113.82</v>
      </c>
      <c r="U15">
        <v>172.422</v>
      </c>
      <c r="V15">
        <v>54.716999999999999</v>
      </c>
      <c r="W15">
        <v>83.816999999999993</v>
      </c>
      <c r="X15">
        <v>143.09200000000001</v>
      </c>
      <c r="AA15">
        <v>73.718999999999994</v>
      </c>
      <c r="AB15">
        <v>74.103999999999999</v>
      </c>
      <c r="AC15">
        <v>7.6779999999999999</v>
      </c>
      <c r="AD15">
        <v>3.4460000000000002</v>
      </c>
      <c r="AP15" t="str">
        <f t="shared" si="5"/>
        <v/>
      </c>
      <c r="AS15" t="str">
        <f t="shared" si="0"/>
        <v/>
      </c>
      <c r="AT15">
        <f t="shared" si="1"/>
        <v>191.14499999999998</v>
      </c>
      <c r="AU15">
        <f t="shared" si="2"/>
        <v>226.90899999999999</v>
      </c>
      <c r="AV15">
        <f t="shared" si="3"/>
        <v>0.76131687242798352</v>
      </c>
    </row>
    <row r="16" spans="1:48" x14ac:dyDescent="0.3">
      <c r="A16" s="1">
        <v>46181</v>
      </c>
      <c r="B16" t="s">
        <v>111</v>
      </c>
      <c r="C16" t="s">
        <v>87</v>
      </c>
      <c r="D16">
        <v>120</v>
      </c>
      <c r="E16">
        <v>120</v>
      </c>
      <c r="F16">
        <v>127</v>
      </c>
      <c r="G16">
        <v>127</v>
      </c>
      <c r="P16">
        <v>31</v>
      </c>
      <c r="Q16">
        <v>171.02799999999999</v>
      </c>
      <c r="R16">
        <v>46.887</v>
      </c>
      <c r="S16">
        <v>70.334000000000003</v>
      </c>
      <c r="T16">
        <v>75.863</v>
      </c>
      <c r="U16">
        <v>164.023</v>
      </c>
      <c r="V16">
        <v>57.682000000000002</v>
      </c>
      <c r="W16">
        <v>48.545999999999999</v>
      </c>
      <c r="X16">
        <v>100.39700000000001</v>
      </c>
      <c r="AA16">
        <v>63.338000000000001</v>
      </c>
      <c r="AB16">
        <v>66.989000000000004</v>
      </c>
      <c r="AC16">
        <v>10.372999999999999</v>
      </c>
      <c r="AD16">
        <v>9.8059999999999992</v>
      </c>
      <c r="AN16">
        <v>21.1</v>
      </c>
      <c r="AO16">
        <v>0.64200000000000002</v>
      </c>
      <c r="AP16">
        <f t="shared" si="5"/>
        <v>0.32866043613707169</v>
      </c>
      <c r="AQ16">
        <v>22.138000000000002</v>
      </c>
      <c r="AR16">
        <v>0.625</v>
      </c>
      <c r="AS16">
        <f t="shared" si="0"/>
        <v>0.35420800000000002</v>
      </c>
      <c r="AT16">
        <f t="shared" si="1"/>
        <v>146.197</v>
      </c>
      <c r="AU16">
        <f t="shared" si="2"/>
        <v>148.94300000000001</v>
      </c>
      <c r="AV16" t="str">
        <f t="shared" si="3"/>
        <v xml:space="preserve"> </v>
      </c>
    </row>
    <row r="17" spans="1:48" x14ac:dyDescent="0.3">
      <c r="A17" s="1">
        <v>46181</v>
      </c>
      <c r="B17" t="s">
        <v>101</v>
      </c>
      <c r="C17" t="s">
        <v>87</v>
      </c>
      <c r="D17">
        <v>120</v>
      </c>
      <c r="E17">
        <v>103</v>
      </c>
      <c r="F17">
        <v>120</v>
      </c>
      <c r="G17">
        <v>135</v>
      </c>
      <c r="Q17">
        <v>178.29300000000001</v>
      </c>
      <c r="R17">
        <v>64.239999999999995</v>
      </c>
      <c r="S17">
        <v>76.762</v>
      </c>
      <c r="T17">
        <v>109.595</v>
      </c>
      <c r="U17">
        <v>155.49700000000001</v>
      </c>
      <c r="V17">
        <v>50.302</v>
      </c>
      <c r="W17">
        <v>68.013000000000005</v>
      </c>
      <c r="X17">
        <v>114.032</v>
      </c>
      <c r="AA17">
        <v>56.994</v>
      </c>
      <c r="AB17">
        <v>66.13</v>
      </c>
      <c r="AC17">
        <v>5.9530000000000003</v>
      </c>
      <c r="AD17">
        <v>3.4689999999999999</v>
      </c>
      <c r="AP17" t="str">
        <f t="shared" si="5"/>
        <v/>
      </c>
      <c r="AS17" t="str">
        <f t="shared" si="0"/>
        <v/>
      </c>
      <c r="AT17">
        <f t="shared" si="1"/>
        <v>186.357</v>
      </c>
      <c r="AU17">
        <f t="shared" si="2"/>
        <v>182.04500000000002</v>
      </c>
      <c r="AV17" t="str">
        <f t="shared" si="3"/>
        <v xml:space="preserve"> </v>
      </c>
    </row>
    <row r="18" spans="1:48" x14ac:dyDescent="0.3">
      <c r="A18" s="1">
        <v>46182</v>
      </c>
      <c r="B18" t="s">
        <v>103</v>
      </c>
      <c r="C18" t="s">
        <v>88</v>
      </c>
      <c r="H18">
        <v>104</v>
      </c>
      <c r="I18">
        <v>107</v>
      </c>
      <c r="J18">
        <v>87</v>
      </c>
      <c r="K18">
        <v>116</v>
      </c>
      <c r="L18">
        <v>171</v>
      </c>
      <c r="M18">
        <v>140</v>
      </c>
      <c r="N18">
        <v>198</v>
      </c>
      <c r="O18">
        <v>182</v>
      </c>
      <c r="P18">
        <v>62</v>
      </c>
      <c r="Q18">
        <v>158.22800000000001</v>
      </c>
      <c r="R18">
        <v>45.802</v>
      </c>
      <c r="S18">
        <v>53.426000000000002</v>
      </c>
      <c r="T18">
        <v>91.58</v>
      </c>
      <c r="U18">
        <v>158.17099999999999</v>
      </c>
      <c r="V18">
        <v>47.387</v>
      </c>
      <c r="W18">
        <v>49.36</v>
      </c>
      <c r="X18">
        <v>112.18</v>
      </c>
      <c r="Y18">
        <v>66.072999999999993</v>
      </c>
      <c r="Z18">
        <v>37.594000000000001</v>
      </c>
      <c r="AA18">
        <v>57.628999999999998</v>
      </c>
      <c r="AB18">
        <v>62.932000000000002</v>
      </c>
      <c r="AC18">
        <v>9.0909999999999993</v>
      </c>
      <c r="AD18">
        <v>2.7749999999999999</v>
      </c>
      <c r="AE18">
        <v>3.1520000000000001</v>
      </c>
      <c r="AF18">
        <v>157.63999999999999</v>
      </c>
      <c r="AG18">
        <v>36.817999999999998</v>
      </c>
      <c r="AH18">
        <v>-4.0730000000000004</v>
      </c>
      <c r="AI18">
        <v>23.949000000000002</v>
      </c>
      <c r="AJ18">
        <v>4.6100000000000003</v>
      </c>
      <c r="AK18">
        <v>28.757999999999999</v>
      </c>
      <c r="AL18">
        <v>43.454999999999998</v>
      </c>
      <c r="AM18">
        <v>48.923999999999999</v>
      </c>
      <c r="AN18">
        <v>20.765999999999998</v>
      </c>
      <c r="AO18">
        <v>0.75</v>
      </c>
      <c r="AQ18">
        <v>20.045999999999999</v>
      </c>
      <c r="AR18">
        <v>0.78300000000000003</v>
      </c>
      <c r="AS18">
        <f t="shared" si="0"/>
        <v>0.25601532567049806</v>
      </c>
      <c r="AT18">
        <f t="shared" si="1"/>
        <v>145.006</v>
      </c>
      <c r="AU18">
        <f t="shared" si="2"/>
        <v>161.54000000000002</v>
      </c>
      <c r="AV18">
        <f t="shared" si="3"/>
        <v>0.5252525252525253</v>
      </c>
    </row>
    <row r="19" spans="1:48" x14ac:dyDescent="0.3">
      <c r="A19" s="1">
        <v>46182</v>
      </c>
      <c r="B19" t="s">
        <v>99</v>
      </c>
      <c r="C19" t="s">
        <v>89</v>
      </c>
      <c r="H19">
        <v>165</v>
      </c>
      <c r="I19">
        <v>171</v>
      </c>
      <c r="J19">
        <v>168</v>
      </c>
      <c r="K19">
        <v>204</v>
      </c>
      <c r="L19">
        <v>228</v>
      </c>
      <c r="M19">
        <v>319</v>
      </c>
      <c r="N19">
        <v>253</v>
      </c>
      <c r="P19">
        <v>50</v>
      </c>
      <c r="Q19">
        <v>150.30199999999999</v>
      </c>
      <c r="R19">
        <v>43.918999999999997</v>
      </c>
      <c r="S19">
        <v>66.448999999999998</v>
      </c>
      <c r="T19">
        <v>97.616</v>
      </c>
      <c r="U19">
        <v>176.77799999999999</v>
      </c>
      <c r="V19">
        <v>54.633000000000003</v>
      </c>
      <c r="W19">
        <v>87.307000000000002</v>
      </c>
      <c r="X19">
        <v>103.52500000000001</v>
      </c>
      <c r="Y19">
        <v>60.741</v>
      </c>
      <c r="Z19">
        <v>49.472999999999999</v>
      </c>
      <c r="AA19">
        <v>62.119</v>
      </c>
      <c r="AB19">
        <v>62.280999999999999</v>
      </c>
      <c r="AC19">
        <v>4.4329999999999998</v>
      </c>
      <c r="AD19">
        <v>3.0489999999999999</v>
      </c>
      <c r="AE19">
        <v>2.2850000000000001</v>
      </c>
      <c r="AF19">
        <v>152.30699999999999</v>
      </c>
      <c r="AG19">
        <v>28.484000000000002</v>
      </c>
      <c r="AH19">
        <v>20.849</v>
      </c>
      <c r="AI19">
        <v>19.788</v>
      </c>
      <c r="AJ19">
        <v>-5.2590000000000003</v>
      </c>
      <c r="AK19">
        <v>20.013000000000002</v>
      </c>
      <c r="AL19">
        <v>35.615000000000002</v>
      </c>
      <c r="AM19">
        <v>41.784999999999997</v>
      </c>
      <c r="AP19" t="str">
        <f t="shared" ref="AP19:AP21" si="6">IFERROR((AN19/100)/AO19,"")</f>
        <v/>
      </c>
      <c r="AS19" t="str">
        <f t="shared" si="0"/>
        <v/>
      </c>
      <c r="AT19">
        <f t="shared" si="1"/>
        <v>164.065</v>
      </c>
      <c r="AU19">
        <f t="shared" si="2"/>
        <v>190.83199999999999</v>
      </c>
      <c r="AV19">
        <f t="shared" si="3"/>
        <v>0.66403162055335974</v>
      </c>
    </row>
    <row r="20" spans="1:48" x14ac:dyDescent="0.3">
      <c r="A20" s="1">
        <v>46182</v>
      </c>
      <c r="B20" t="s">
        <v>105</v>
      </c>
      <c r="C20" t="s">
        <v>91</v>
      </c>
      <c r="Q20">
        <v>192.91399999999999</v>
      </c>
      <c r="R20">
        <v>69.679000000000002</v>
      </c>
      <c r="S20">
        <v>74.781000000000006</v>
      </c>
      <c r="T20">
        <v>103.16800000000001</v>
      </c>
      <c r="AA20">
        <v>60.322000000000003</v>
      </c>
      <c r="AB20">
        <v>64.13</v>
      </c>
      <c r="AC20">
        <v>5.7939999999999996</v>
      </c>
      <c r="AD20">
        <v>4.2679999999999998</v>
      </c>
      <c r="AH20">
        <v>4.0789999999999997</v>
      </c>
      <c r="AI20">
        <v>18.196999999999999</v>
      </c>
      <c r="AJ20">
        <v>10.661</v>
      </c>
      <c r="AK20">
        <v>29.603999999999999</v>
      </c>
      <c r="AN20">
        <v>22.167999999999999</v>
      </c>
      <c r="AO20">
        <v>0.65</v>
      </c>
      <c r="AP20">
        <f t="shared" si="6"/>
        <v>0.34104615384615383</v>
      </c>
      <c r="AQ20">
        <v>22.571000000000002</v>
      </c>
      <c r="AR20">
        <v>0.58299999999999996</v>
      </c>
      <c r="AS20">
        <f t="shared" si="0"/>
        <v>0.3871526586620927</v>
      </c>
      <c r="AT20">
        <f t="shared" si="1"/>
        <v>177.94900000000001</v>
      </c>
      <c r="AU20" t="str">
        <f t="shared" si="2"/>
        <v xml:space="preserve"> </v>
      </c>
      <c r="AV20" t="str">
        <f t="shared" si="3"/>
        <v xml:space="preserve"> </v>
      </c>
    </row>
    <row r="21" spans="1:48" x14ac:dyDescent="0.3">
      <c r="A21" s="1">
        <v>46182</v>
      </c>
      <c r="B21" t="s">
        <v>107</v>
      </c>
      <c r="C21" t="s">
        <v>89</v>
      </c>
      <c r="H21">
        <v>148</v>
      </c>
      <c r="I21">
        <v>113</v>
      </c>
      <c r="J21">
        <v>125</v>
      </c>
      <c r="K21">
        <v>110</v>
      </c>
      <c r="L21">
        <v>208</v>
      </c>
      <c r="M21">
        <v>224</v>
      </c>
      <c r="N21">
        <v>238</v>
      </c>
      <c r="O21">
        <v>228</v>
      </c>
      <c r="P21">
        <v>13</v>
      </c>
      <c r="Q21">
        <v>194.71299999999999</v>
      </c>
      <c r="R21">
        <v>54.343000000000004</v>
      </c>
      <c r="S21">
        <v>87.460999999999999</v>
      </c>
      <c r="T21">
        <v>103.099</v>
      </c>
      <c r="U21">
        <v>198.13900000000001</v>
      </c>
      <c r="V21">
        <v>70.221999999999994</v>
      </c>
      <c r="W21">
        <v>63.491999999999997</v>
      </c>
      <c r="X21">
        <v>118.79300000000001</v>
      </c>
      <c r="AA21">
        <v>63.661000000000001</v>
      </c>
      <c r="AB21">
        <v>64.894999999999996</v>
      </c>
      <c r="AC21">
        <v>9.3260000000000005</v>
      </c>
      <c r="AD21">
        <v>11.256</v>
      </c>
      <c r="AH21">
        <v>-3.677</v>
      </c>
      <c r="AI21">
        <v>21.344000000000001</v>
      </c>
      <c r="AJ21">
        <v>15.061999999999999</v>
      </c>
      <c r="AK21">
        <v>24.786999999999999</v>
      </c>
      <c r="AN21">
        <v>19.863</v>
      </c>
      <c r="AO21">
        <v>0.57499999999999996</v>
      </c>
      <c r="AP21">
        <f t="shared" si="6"/>
        <v>0.34544347826086957</v>
      </c>
      <c r="AQ21">
        <v>19.437000000000001</v>
      </c>
      <c r="AR21">
        <v>0.57499999999999996</v>
      </c>
      <c r="AS21">
        <f t="shared" si="0"/>
        <v>0.33803478260869568</v>
      </c>
      <c r="AT21">
        <f t="shared" si="1"/>
        <v>190.56</v>
      </c>
      <c r="AU21">
        <f t="shared" si="2"/>
        <v>182.285</v>
      </c>
      <c r="AV21">
        <f t="shared" si="3"/>
        <v>0.62184873949579833</v>
      </c>
    </row>
    <row r="22" spans="1:48" x14ac:dyDescent="0.3">
      <c r="A22" s="1">
        <v>46183</v>
      </c>
      <c r="B22" t="s">
        <v>100</v>
      </c>
      <c r="C22" t="s">
        <v>91</v>
      </c>
      <c r="U22">
        <v>201.58099999999999</v>
      </c>
      <c r="V22">
        <v>62.64</v>
      </c>
      <c r="W22">
        <v>46.805999999999997</v>
      </c>
      <c r="X22">
        <v>140.227</v>
      </c>
      <c r="Y22">
        <v>56.970999999999997</v>
      </c>
      <c r="Z22">
        <v>64.209000000000003</v>
      </c>
      <c r="AA22">
        <v>73.412000000000006</v>
      </c>
      <c r="AB22">
        <v>76.853999999999999</v>
      </c>
      <c r="AC22">
        <v>6.742</v>
      </c>
      <c r="AD22">
        <v>6.5970000000000004</v>
      </c>
      <c r="AE22">
        <v>1.206</v>
      </c>
      <c r="AF22">
        <v>164.928</v>
      </c>
      <c r="AG22">
        <v>24.512</v>
      </c>
      <c r="AH22">
        <v>9.2520000000000007</v>
      </c>
      <c r="AI22">
        <v>24.704999999999998</v>
      </c>
      <c r="AJ22">
        <v>19.707000000000001</v>
      </c>
      <c r="AK22">
        <v>27.016999999999999</v>
      </c>
      <c r="AL22">
        <v>57.636000000000003</v>
      </c>
      <c r="AM22">
        <v>54.499000000000002</v>
      </c>
      <c r="AN22">
        <v>19.786000000000001</v>
      </c>
      <c r="AO22">
        <v>0.66700000000000004</v>
      </c>
      <c r="AP22">
        <f t="shared" ref="AP22:AP85" si="7">IFERROR((AN22/100)/AO22,"")</f>
        <v>0.29664167916041978</v>
      </c>
      <c r="AQ22">
        <v>19.317</v>
      </c>
      <c r="AR22">
        <v>0.66700000000000004</v>
      </c>
      <c r="AS22">
        <f t="shared" si="0"/>
        <v>0.28961019490254875</v>
      </c>
      <c r="AT22" t="str">
        <f t="shared" si="1"/>
        <v xml:space="preserve"> </v>
      </c>
      <c r="AU22">
        <f t="shared" si="2"/>
        <v>187.03300000000002</v>
      </c>
      <c r="AV22" t="str">
        <f t="shared" si="3"/>
        <v xml:space="preserve"> </v>
      </c>
    </row>
    <row r="23" spans="1:48" x14ac:dyDescent="0.3">
      <c r="A23" s="1">
        <v>46183</v>
      </c>
      <c r="B23" t="s">
        <v>106</v>
      </c>
      <c r="C23" t="s">
        <v>87</v>
      </c>
      <c r="D23">
        <v>146</v>
      </c>
      <c r="E23">
        <v>125</v>
      </c>
      <c r="F23">
        <v>135</v>
      </c>
      <c r="G23">
        <v>121</v>
      </c>
      <c r="P23">
        <v>77</v>
      </c>
      <c r="Q23">
        <v>178.76300000000001</v>
      </c>
      <c r="R23">
        <v>54.140999999999998</v>
      </c>
      <c r="S23">
        <v>70.986000000000004</v>
      </c>
      <c r="T23">
        <v>113.223</v>
      </c>
      <c r="U23">
        <v>172.68199999999999</v>
      </c>
      <c r="V23">
        <v>53.433999999999997</v>
      </c>
      <c r="W23">
        <v>89.646000000000001</v>
      </c>
      <c r="X23">
        <v>135.60599999999999</v>
      </c>
      <c r="AA23">
        <v>72.12</v>
      </c>
      <c r="AB23">
        <v>74.557000000000002</v>
      </c>
      <c r="AC23">
        <v>5.4729999999999999</v>
      </c>
      <c r="AD23">
        <v>10.257999999999999</v>
      </c>
      <c r="AN23">
        <v>22.390999999999998</v>
      </c>
      <c r="AO23">
        <v>0.68300000000000005</v>
      </c>
      <c r="AP23">
        <f t="shared" si="7"/>
        <v>0.32783308931185939</v>
      </c>
      <c r="AQ23">
        <v>23.626000000000001</v>
      </c>
      <c r="AR23">
        <v>0.68300000000000005</v>
      </c>
      <c r="AS23">
        <f t="shared" si="0"/>
        <v>0.34591508052708642</v>
      </c>
      <c r="AT23">
        <f t="shared" si="1"/>
        <v>184.209</v>
      </c>
      <c r="AU23">
        <f t="shared" si="2"/>
        <v>225.25200000000001</v>
      </c>
      <c r="AV23" t="str">
        <f t="shared" si="3"/>
        <v xml:space="preserve"> </v>
      </c>
    </row>
    <row r="24" spans="1:48" x14ac:dyDescent="0.3">
      <c r="A24" s="1">
        <v>46183</v>
      </c>
      <c r="B24" t="s">
        <v>101</v>
      </c>
      <c r="C24" t="s">
        <v>89</v>
      </c>
      <c r="H24">
        <v>164</v>
      </c>
      <c r="I24">
        <v>113</v>
      </c>
      <c r="J24">
        <v>165</v>
      </c>
      <c r="K24">
        <v>113</v>
      </c>
      <c r="L24">
        <v>209</v>
      </c>
      <c r="M24">
        <v>150</v>
      </c>
      <c r="N24">
        <v>209</v>
      </c>
      <c r="O24">
        <v>186</v>
      </c>
      <c r="P24">
        <v>77</v>
      </c>
      <c r="Q24">
        <v>181.517</v>
      </c>
      <c r="R24">
        <v>57.819000000000003</v>
      </c>
      <c r="S24">
        <v>69.924999999999997</v>
      </c>
      <c r="T24">
        <v>113.913</v>
      </c>
      <c r="U24">
        <v>154.36600000000001</v>
      </c>
      <c r="V24">
        <v>41.883000000000003</v>
      </c>
      <c r="W24">
        <v>48.404000000000003</v>
      </c>
      <c r="X24">
        <v>99.040999999999997</v>
      </c>
      <c r="Y24">
        <v>54.996000000000002</v>
      </c>
      <c r="Z24">
        <v>46.933</v>
      </c>
      <c r="AA24">
        <v>55.795999999999999</v>
      </c>
      <c r="AB24">
        <v>64.864000000000004</v>
      </c>
      <c r="AC24">
        <v>7.0869999999999997</v>
      </c>
      <c r="AD24">
        <v>3.645</v>
      </c>
      <c r="AE24">
        <v>0.69</v>
      </c>
      <c r="AF24">
        <v>161.21</v>
      </c>
      <c r="AG24">
        <v>31.68</v>
      </c>
      <c r="AH24">
        <v>10.765000000000001</v>
      </c>
      <c r="AI24">
        <v>25.539000000000001</v>
      </c>
      <c r="AJ24">
        <v>-8.0129999999999999</v>
      </c>
      <c r="AK24">
        <v>35.295999999999999</v>
      </c>
      <c r="AL24">
        <v>16.501000000000001</v>
      </c>
      <c r="AM24">
        <v>34.313000000000002</v>
      </c>
      <c r="AP24" t="str">
        <f t="shared" si="7"/>
        <v/>
      </c>
      <c r="AS24" t="str">
        <f t="shared" si="0"/>
        <v/>
      </c>
      <c r="AT24">
        <f t="shared" si="1"/>
        <v>183.83799999999999</v>
      </c>
      <c r="AU24">
        <f t="shared" si="2"/>
        <v>147.44499999999999</v>
      </c>
      <c r="AV24">
        <f t="shared" si="3"/>
        <v>0.78947368421052633</v>
      </c>
    </row>
    <row r="25" spans="1:48" x14ac:dyDescent="0.3">
      <c r="A25" s="1">
        <v>46183</v>
      </c>
      <c r="B25" t="s">
        <v>102</v>
      </c>
      <c r="C25" t="s">
        <v>87</v>
      </c>
      <c r="D25">
        <v>135</v>
      </c>
      <c r="E25">
        <v>131</v>
      </c>
      <c r="F25">
        <v>136</v>
      </c>
      <c r="G25">
        <v>134</v>
      </c>
      <c r="Q25">
        <v>182.089</v>
      </c>
      <c r="R25">
        <v>66.971000000000004</v>
      </c>
      <c r="S25">
        <v>83.073999999999998</v>
      </c>
      <c r="T25">
        <v>77.295000000000002</v>
      </c>
      <c r="U25">
        <v>186.16499999999999</v>
      </c>
      <c r="V25">
        <v>71.616</v>
      </c>
      <c r="W25">
        <v>97.594999999999999</v>
      </c>
      <c r="X25">
        <v>95.787000000000006</v>
      </c>
      <c r="Y25">
        <v>65.706999999999994</v>
      </c>
      <c r="Z25">
        <v>50.012</v>
      </c>
      <c r="AA25">
        <v>64.64</v>
      </c>
      <c r="AB25">
        <v>62.790999999999997</v>
      </c>
      <c r="AC25">
        <v>5.0810000000000004</v>
      </c>
      <c r="AD25">
        <v>4.6840000000000002</v>
      </c>
      <c r="AE25">
        <v>-15.548999999999999</v>
      </c>
      <c r="AF25">
        <v>152.87700000000001</v>
      </c>
      <c r="AG25">
        <v>38.94</v>
      </c>
      <c r="AH25">
        <v>-6.3689999999999998</v>
      </c>
      <c r="AI25">
        <v>17.193000000000001</v>
      </c>
      <c r="AJ25">
        <v>5.7060000000000004</v>
      </c>
      <c r="AK25">
        <v>25.620999999999999</v>
      </c>
      <c r="AL25">
        <v>47.313000000000002</v>
      </c>
      <c r="AM25">
        <v>50.893999999999998</v>
      </c>
      <c r="AN25">
        <v>17.254999999999999</v>
      </c>
      <c r="AO25">
        <v>0.60799999999999998</v>
      </c>
      <c r="AP25">
        <f t="shared" si="7"/>
        <v>0.28379934210526314</v>
      </c>
      <c r="AQ25">
        <v>20.818999999999999</v>
      </c>
      <c r="AR25">
        <v>0.73299999999999998</v>
      </c>
      <c r="AS25">
        <f t="shared" si="0"/>
        <v>0.28402455661664394</v>
      </c>
      <c r="AT25">
        <f t="shared" si="1"/>
        <v>160.369</v>
      </c>
      <c r="AU25">
        <f t="shared" si="2"/>
        <v>193.38200000000001</v>
      </c>
      <c r="AV25" t="str">
        <f t="shared" si="3"/>
        <v xml:space="preserve"> </v>
      </c>
    </row>
    <row r="26" spans="1:48" x14ac:dyDescent="0.3">
      <c r="A26" s="1">
        <v>46184</v>
      </c>
      <c r="B26" t="s">
        <v>105</v>
      </c>
      <c r="C26" t="s">
        <v>90</v>
      </c>
      <c r="D26">
        <v>138</v>
      </c>
      <c r="E26">
        <v>150</v>
      </c>
      <c r="F26">
        <v>146</v>
      </c>
      <c r="G26">
        <v>150</v>
      </c>
      <c r="AP26" t="str">
        <f t="shared" si="7"/>
        <v/>
      </c>
      <c r="AS26" t="str">
        <f t="shared" si="0"/>
        <v/>
      </c>
      <c r="AT26" t="str">
        <f t="shared" si="1"/>
        <v xml:space="preserve"> </v>
      </c>
      <c r="AU26" t="str">
        <f t="shared" si="2"/>
        <v xml:space="preserve"> </v>
      </c>
      <c r="AV26" t="str">
        <f t="shared" si="3"/>
        <v xml:space="preserve"> </v>
      </c>
    </row>
    <row r="27" spans="1:48" x14ac:dyDescent="0.3">
      <c r="A27" s="1">
        <v>46184</v>
      </c>
      <c r="B27" t="s">
        <v>110</v>
      </c>
      <c r="C27" t="s">
        <v>87</v>
      </c>
      <c r="D27">
        <v>126</v>
      </c>
      <c r="E27">
        <v>130</v>
      </c>
      <c r="F27">
        <v>124</v>
      </c>
      <c r="G27">
        <v>121</v>
      </c>
      <c r="P27">
        <v>38</v>
      </c>
      <c r="Q27">
        <v>198.346</v>
      </c>
      <c r="R27">
        <v>101.822</v>
      </c>
      <c r="S27">
        <v>111.432</v>
      </c>
      <c r="T27">
        <v>120.66</v>
      </c>
      <c r="U27">
        <v>199.84299999999999</v>
      </c>
      <c r="V27">
        <v>84.953999999999994</v>
      </c>
      <c r="W27">
        <v>94.474000000000004</v>
      </c>
      <c r="X27">
        <v>139.011</v>
      </c>
      <c r="Y27">
        <v>72.043999999999997</v>
      </c>
      <c r="Z27">
        <v>82.394999999999996</v>
      </c>
      <c r="AA27">
        <v>66.885000000000005</v>
      </c>
      <c r="AB27">
        <v>68.807000000000002</v>
      </c>
      <c r="AC27">
        <v>3.8010000000000002</v>
      </c>
      <c r="AD27">
        <v>3.3969999999999998</v>
      </c>
      <c r="AE27">
        <v>-5.3959999999999999</v>
      </c>
      <c r="AF27">
        <v>152.84899999999999</v>
      </c>
      <c r="AG27">
        <v>29.677</v>
      </c>
      <c r="AH27">
        <v>-1.8839999999999999</v>
      </c>
      <c r="AI27">
        <v>13.430999999999999</v>
      </c>
      <c r="AJ27">
        <v>-4.3209999999999997</v>
      </c>
      <c r="AK27">
        <v>20.619</v>
      </c>
      <c r="AL27">
        <v>56.545000000000002</v>
      </c>
      <c r="AM27">
        <v>45.807000000000002</v>
      </c>
      <c r="AN27">
        <v>24.4</v>
      </c>
      <c r="AO27">
        <v>0.81699999999999995</v>
      </c>
      <c r="AP27">
        <f t="shared" si="7"/>
        <v>0.29865361077111385</v>
      </c>
      <c r="AQ27">
        <v>22.408000000000001</v>
      </c>
      <c r="AR27">
        <v>0.8</v>
      </c>
      <c r="AS27">
        <f t="shared" ref="AS27:AS53" si="8">IFERROR((AQ27/100)/AR27, "")</f>
        <v>0.28009999999999996</v>
      </c>
      <c r="AT27">
        <f t="shared" si="1"/>
        <v>232.09199999999998</v>
      </c>
      <c r="AU27">
        <f t="shared" si="2"/>
        <v>233.48500000000001</v>
      </c>
      <c r="AV27" t="str">
        <f t="shared" si="3"/>
        <v xml:space="preserve"> </v>
      </c>
    </row>
    <row r="28" spans="1:48" x14ac:dyDescent="0.3">
      <c r="A28" s="1">
        <v>46184</v>
      </c>
      <c r="B28" t="s">
        <v>104</v>
      </c>
      <c r="C28" t="s">
        <v>87</v>
      </c>
      <c r="D28">
        <v>146</v>
      </c>
      <c r="E28">
        <v>129</v>
      </c>
      <c r="F28">
        <v>139</v>
      </c>
      <c r="G28">
        <v>139</v>
      </c>
      <c r="Q28">
        <v>190.523</v>
      </c>
      <c r="R28">
        <v>68.070999999999998</v>
      </c>
      <c r="S28">
        <v>55.639000000000003</v>
      </c>
      <c r="T28">
        <v>99.445999999999998</v>
      </c>
      <c r="U28">
        <v>183.48699999999999</v>
      </c>
      <c r="V28">
        <v>62.139000000000003</v>
      </c>
      <c r="W28">
        <v>35.237000000000002</v>
      </c>
      <c r="X28">
        <v>124.47799999999999</v>
      </c>
      <c r="Y28">
        <v>61.765000000000001</v>
      </c>
      <c r="Z28">
        <v>56.332999999999998</v>
      </c>
      <c r="AA28">
        <v>62.536000000000001</v>
      </c>
      <c r="AB28">
        <v>62.859000000000002</v>
      </c>
      <c r="AC28">
        <v>10.048999999999999</v>
      </c>
      <c r="AD28">
        <v>7.5810000000000004</v>
      </c>
      <c r="AE28">
        <v>4.4779999999999998</v>
      </c>
      <c r="AF28">
        <v>160.90299999999999</v>
      </c>
      <c r="AG28">
        <v>28.774000000000001</v>
      </c>
      <c r="AL28">
        <v>44.444000000000003</v>
      </c>
      <c r="AM28">
        <v>49.433999999999997</v>
      </c>
      <c r="AN28">
        <v>23.026</v>
      </c>
      <c r="AO28">
        <v>0.63300000000000001</v>
      </c>
      <c r="AP28">
        <f t="shared" si="7"/>
        <v>0.36375987361769352</v>
      </c>
      <c r="AQ28">
        <v>22.129000000000001</v>
      </c>
      <c r="AR28">
        <v>0.65</v>
      </c>
      <c r="AS28">
        <f t="shared" si="8"/>
        <v>0.34044615384615384</v>
      </c>
      <c r="AT28">
        <f t="shared" si="1"/>
        <v>155.08500000000001</v>
      </c>
      <c r="AU28">
        <f t="shared" si="2"/>
        <v>159.715</v>
      </c>
      <c r="AV28" t="str">
        <f t="shared" si="3"/>
        <v xml:space="preserve"> </v>
      </c>
    </row>
    <row r="29" spans="1:48" x14ac:dyDescent="0.3">
      <c r="A29" s="1">
        <v>46184</v>
      </c>
      <c r="B29" t="s">
        <v>107</v>
      </c>
      <c r="C29" t="s">
        <v>87</v>
      </c>
      <c r="D29">
        <v>132</v>
      </c>
      <c r="E29">
        <v>115</v>
      </c>
      <c r="F29">
        <v>131</v>
      </c>
      <c r="G29">
        <v>102</v>
      </c>
      <c r="AP29" t="str">
        <f t="shared" si="7"/>
        <v/>
      </c>
      <c r="AS29" t="str">
        <f t="shared" si="8"/>
        <v/>
      </c>
      <c r="AT29" t="str">
        <f t="shared" si="1"/>
        <v xml:space="preserve"> </v>
      </c>
      <c r="AU29" t="str">
        <f t="shared" si="2"/>
        <v xml:space="preserve"> </v>
      </c>
      <c r="AV29" t="str">
        <f t="shared" si="3"/>
        <v xml:space="preserve"> </v>
      </c>
    </row>
    <row r="30" spans="1:48" x14ac:dyDescent="0.3">
      <c r="A30" s="1">
        <v>46185</v>
      </c>
      <c r="B30" t="s">
        <v>100</v>
      </c>
      <c r="C30" t="s">
        <v>90</v>
      </c>
      <c r="D30">
        <v>111</v>
      </c>
      <c r="E30">
        <v>120</v>
      </c>
      <c r="F30">
        <v>114</v>
      </c>
      <c r="G30">
        <v>115</v>
      </c>
      <c r="P30">
        <v>67</v>
      </c>
      <c r="AA30">
        <v>68.015000000000001</v>
      </c>
      <c r="AB30">
        <v>64.462999999999994</v>
      </c>
      <c r="AC30">
        <v>6.734</v>
      </c>
      <c r="AD30">
        <v>6.8150000000000004</v>
      </c>
      <c r="AP30" t="str">
        <f t="shared" si="7"/>
        <v/>
      </c>
      <c r="AS30" t="str">
        <f t="shared" si="8"/>
        <v/>
      </c>
      <c r="AT30" t="str">
        <f t="shared" si="1"/>
        <v xml:space="preserve"> </v>
      </c>
      <c r="AU30" t="str">
        <f t="shared" si="2"/>
        <v xml:space="preserve"> </v>
      </c>
      <c r="AV30" t="str">
        <f t="shared" si="3"/>
        <v xml:space="preserve"> </v>
      </c>
    </row>
    <row r="31" spans="1:48" x14ac:dyDescent="0.3">
      <c r="A31" s="1">
        <v>46185</v>
      </c>
      <c r="B31" t="s">
        <v>104</v>
      </c>
      <c r="C31" t="s">
        <v>89</v>
      </c>
      <c r="H31">
        <v>162</v>
      </c>
      <c r="I31">
        <v>122</v>
      </c>
      <c r="J31">
        <v>157</v>
      </c>
      <c r="K31">
        <v>135</v>
      </c>
      <c r="L31">
        <v>272</v>
      </c>
      <c r="M31">
        <v>224</v>
      </c>
      <c r="N31">
        <v>266</v>
      </c>
      <c r="O31">
        <v>232</v>
      </c>
      <c r="P31">
        <v>31</v>
      </c>
      <c r="Q31">
        <v>189.30099999999999</v>
      </c>
      <c r="R31">
        <v>59.87</v>
      </c>
      <c r="S31">
        <v>58.771999999999998</v>
      </c>
      <c r="T31">
        <v>100.444</v>
      </c>
      <c r="U31">
        <v>172.14699999999999</v>
      </c>
      <c r="V31">
        <v>56.798999999999999</v>
      </c>
      <c r="W31">
        <v>33.207999999999998</v>
      </c>
      <c r="X31">
        <v>121.26</v>
      </c>
      <c r="AA31">
        <v>64.316999999999993</v>
      </c>
      <c r="AB31">
        <v>60.749000000000002</v>
      </c>
      <c r="AC31">
        <v>3.524</v>
      </c>
      <c r="AD31">
        <v>2.274</v>
      </c>
      <c r="AP31" t="str">
        <f t="shared" si="7"/>
        <v/>
      </c>
      <c r="AS31" t="str">
        <f t="shared" si="8"/>
        <v/>
      </c>
      <c r="AT31">
        <f t="shared" si="1"/>
        <v>159.21600000000001</v>
      </c>
      <c r="AU31">
        <f t="shared" si="2"/>
        <v>154.46800000000002</v>
      </c>
      <c r="AV31">
        <f t="shared" si="3"/>
        <v>0.59558823529411764</v>
      </c>
    </row>
    <row r="32" spans="1:48" x14ac:dyDescent="0.3">
      <c r="A32" s="1">
        <v>46185</v>
      </c>
      <c r="B32" t="s">
        <v>102</v>
      </c>
      <c r="C32" t="s">
        <v>89</v>
      </c>
      <c r="H32">
        <v>142</v>
      </c>
      <c r="I32">
        <v>122</v>
      </c>
      <c r="J32">
        <v>136</v>
      </c>
      <c r="K32">
        <v>131</v>
      </c>
      <c r="L32">
        <v>194</v>
      </c>
      <c r="M32">
        <v>220</v>
      </c>
      <c r="N32">
        <v>188</v>
      </c>
      <c r="O32">
        <v>225</v>
      </c>
      <c r="P32">
        <v>43</v>
      </c>
      <c r="Q32">
        <v>174.977</v>
      </c>
      <c r="R32">
        <v>66.924999999999997</v>
      </c>
      <c r="S32">
        <v>91.992000000000004</v>
      </c>
      <c r="T32">
        <v>79.768000000000001</v>
      </c>
      <c r="U32">
        <v>168.15199999999999</v>
      </c>
      <c r="V32">
        <v>68.396000000000001</v>
      </c>
      <c r="W32">
        <v>81.016000000000005</v>
      </c>
      <c r="X32">
        <v>87.15</v>
      </c>
      <c r="AA32">
        <v>65.828000000000003</v>
      </c>
      <c r="AB32">
        <v>64.733999999999995</v>
      </c>
      <c r="AC32">
        <v>3.7989999999999999</v>
      </c>
      <c r="AD32">
        <v>3.3730000000000002</v>
      </c>
      <c r="AP32" t="str">
        <f t="shared" si="7"/>
        <v/>
      </c>
      <c r="AS32" t="str">
        <f t="shared" si="8"/>
        <v/>
      </c>
      <c r="AT32">
        <f t="shared" si="1"/>
        <v>171.76</v>
      </c>
      <c r="AU32">
        <f t="shared" si="2"/>
        <v>168.166</v>
      </c>
      <c r="AV32">
        <f t="shared" si="3"/>
        <v>0.73195876288659789</v>
      </c>
    </row>
    <row r="33" spans="1:48" x14ac:dyDescent="0.3">
      <c r="A33" s="1">
        <v>46185</v>
      </c>
      <c r="B33" t="s">
        <v>105</v>
      </c>
      <c r="C33" t="s">
        <v>88</v>
      </c>
      <c r="H33">
        <v>143</v>
      </c>
      <c r="I33">
        <v>119</v>
      </c>
      <c r="J33">
        <v>140</v>
      </c>
      <c r="K33">
        <v>137</v>
      </c>
      <c r="L33">
        <v>230</v>
      </c>
      <c r="M33">
        <v>125</v>
      </c>
      <c r="N33">
        <v>178</v>
      </c>
      <c r="O33">
        <v>171</v>
      </c>
      <c r="P33">
        <v>38</v>
      </c>
      <c r="AP33" t="str">
        <f t="shared" si="7"/>
        <v/>
      </c>
      <c r="AS33" t="str">
        <f t="shared" si="8"/>
        <v/>
      </c>
      <c r="AT33" t="str">
        <f t="shared" si="1"/>
        <v xml:space="preserve"> </v>
      </c>
      <c r="AU33" t="str">
        <f t="shared" si="2"/>
        <v xml:space="preserve"> </v>
      </c>
      <c r="AV33">
        <f t="shared" si="3"/>
        <v>0.62173913043478257</v>
      </c>
    </row>
    <row r="34" spans="1:48" x14ac:dyDescent="0.3">
      <c r="A34" s="1">
        <v>46186</v>
      </c>
      <c r="B34" t="s">
        <v>100</v>
      </c>
      <c r="C34" t="s">
        <v>88</v>
      </c>
      <c r="H34">
        <v>153</v>
      </c>
      <c r="I34">
        <v>102</v>
      </c>
      <c r="J34">
        <v>157</v>
      </c>
      <c r="K34">
        <v>113</v>
      </c>
      <c r="L34">
        <v>235</v>
      </c>
      <c r="M34">
        <v>231</v>
      </c>
      <c r="N34">
        <v>236</v>
      </c>
      <c r="O34">
        <v>267</v>
      </c>
      <c r="AP34" t="str">
        <f t="shared" si="7"/>
        <v/>
      </c>
      <c r="AS34" t="str">
        <f t="shared" si="8"/>
        <v/>
      </c>
      <c r="AT34" t="str">
        <f t="shared" si="1"/>
        <v xml:space="preserve"> </v>
      </c>
      <c r="AU34" t="str">
        <f t="shared" si="2"/>
        <v xml:space="preserve"> </v>
      </c>
      <c r="AV34">
        <f t="shared" si="3"/>
        <v>0.6652542372881356</v>
      </c>
    </row>
    <row r="35" spans="1:48" x14ac:dyDescent="0.3">
      <c r="A35" s="1">
        <v>46186</v>
      </c>
      <c r="B35" t="s">
        <v>111</v>
      </c>
      <c r="C35" t="s">
        <v>89</v>
      </c>
      <c r="H35">
        <v>146</v>
      </c>
      <c r="I35">
        <v>136</v>
      </c>
      <c r="J35">
        <v>147</v>
      </c>
      <c r="K35">
        <v>131</v>
      </c>
      <c r="L35">
        <v>233</v>
      </c>
      <c r="M35">
        <v>197</v>
      </c>
      <c r="N35">
        <v>233</v>
      </c>
      <c r="O35">
        <v>176</v>
      </c>
      <c r="P35">
        <v>54</v>
      </c>
      <c r="Q35">
        <v>179.857</v>
      </c>
      <c r="R35">
        <v>48.116999999999997</v>
      </c>
      <c r="S35">
        <v>57.027999999999999</v>
      </c>
      <c r="T35">
        <v>83.119</v>
      </c>
      <c r="U35">
        <v>179.86199999999999</v>
      </c>
      <c r="V35">
        <v>52.436999999999998</v>
      </c>
      <c r="W35">
        <v>52.914999999999999</v>
      </c>
      <c r="X35">
        <v>110.774</v>
      </c>
      <c r="Y35">
        <v>54.561</v>
      </c>
      <c r="Z35">
        <v>45.325000000000003</v>
      </c>
      <c r="AA35">
        <v>67.103999999999999</v>
      </c>
      <c r="AB35">
        <v>66.587999999999994</v>
      </c>
      <c r="AC35">
        <v>4.1989999999999998</v>
      </c>
      <c r="AD35">
        <v>10.204000000000001</v>
      </c>
      <c r="AE35">
        <v>0.79500000000000004</v>
      </c>
      <c r="AF35">
        <v>155.99100000000001</v>
      </c>
      <c r="AG35">
        <v>21.992999999999999</v>
      </c>
      <c r="AH35">
        <v>-2.9460000000000002</v>
      </c>
      <c r="AI35">
        <v>24.719000000000001</v>
      </c>
      <c r="AJ35">
        <v>12.688000000000001</v>
      </c>
      <c r="AK35">
        <v>20.846</v>
      </c>
      <c r="AL35">
        <v>50.191000000000003</v>
      </c>
      <c r="AM35">
        <v>41.707999999999998</v>
      </c>
      <c r="AP35" t="str">
        <f t="shared" si="7"/>
        <v/>
      </c>
      <c r="AS35" t="str">
        <f t="shared" si="8"/>
        <v/>
      </c>
      <c r="AT35">
        <f t="shared" si="1"/>
        <v>140.14699999999999</v>
      </c>
      <c r="AU35">
        <f t="shared" si="2"/>
        <v>163.68899999999999</v>
      </c>
      <c r="AV35">
        <f t="shared" si="3"/>
        <v>0.63090128755364805</v>
      </c>
    </row>
    <row r="36" spans="1:48" x14ac:dyDescent="0.3">
      <c r="A36" s="1">
        <v>46186</v>
      </c>
      <c r="B36" t="s">
        <v>109</v>
      </c>
      <c r="C36" t="s">
        <v>89</v>
      </c>
      <c r="H36">
        <v>137</v>
      </c>
      <c r="I36">
        <v>118</v>
      </c>
      <c r="J36">
        <v>161</v>
      </c>
      <c r="K36">
        <v>132</v>
      </c>
      <c r="L36">
        <v>234</v>
      </c>
      <c r="M36">
        <v>278</v>
      </c>
      <c r="N36">
        <v>265</v>
      </c>
      <c r="O36">
        <v>242</v>
      </c>
      <c r="P36">
        <v>28</v>
      </c>
      <c r="AP36" t="str">
        <f t="shared" si="7"/>
        <v/>
      </c>
      <c r="AS36" t="str">
        <f t="shared" si="8"/>
        <v/>
      </c>
      <c r="AT36" t="str">
        <f t="shared" si="1"/>
        <v xml:space="preserve"> </v>
      </c>
      <c r="AU36" t="str">
        <f t="shared" si="2"/>
        <v xml:space="preserve"> </v>
      </c>
      <c r="AV36">
        <f t="shared" si="3"/>
        <v>0.60754716981132073</v>
      </c>
    </row>
    <row r="37" spans="1:48" x14ac:dyDescent="0.3">
      <c r="A37" s="1">
        <v>46187</v>
      </c>
      <c r="B37" t="s">
        <v>103</v>
      </c>
      <c r="C37" t="s">
        <v>90</v>
      </c>
      <c r="D37">
        <v>141</v>
      </c>
      <c r="E37">
        <v>145</v>
      </c>
      <c r="F37">
        <v>141</v>
      </c>
      <c r="G37">
        <v>141</v>
      </c>
      <c r="AP37" t="str">
        <f t="shared" si="7"/>
        <v/>
      </c>
      <c r="AS37" t="str">
        <f t="shared" si="8"/>
        <v/>
      </c>
      <c r="AT37" t="str">
        <f t="shared" si="1"/>
        <v xml:space="preserve"> </v>
      </c>
      <c r="AU37" t="str">
        <f t="shared" si="2"/>
        <v xml:space="preserve"> </v>
      </c>
      <c r="AV37" t="str">
        <f t="shared" si="3"/>
        <v xml:space="preserve"> </v>
      </c>
    </row>
    <row r="38" spans="1:48" x14ac:dyDescent="0.3">
      <c r="A38" s="1">
        <v>46187</v>
      </c>
      <c r="B38" t="s">
        <v>110</v>
      </c>
      <c r="C38" t="s">
        <v>89</v>
      </c>
      <c r="H38">
        <v>184</v>
      </c>
      <c r="I38">
        <v>146</v>
      </c>
      <c r="J38">
        <v>159</v>
      </c>
      <c r="K38">
        <v>138</v>
      </c>
      <c r="L38">
        <v>254</v>
      </c>
      <c r="M38">
        <v>200</v>
      </c>
      <c r="N38">
        <v>240</v>
      </c>
      <c r="O38">
        <v>239</v>
      </c>
      <c r="Q38">
        <v>198.30699999999999</v>
      </c>
      <c r="R38">
        <v>92.073999999999998</v>
      </c>
      <c r="S38">
        <v>103.69799999999999</v>
      </c>
      <c r="T38">
        <v>121.866</v>
      </c>
      <c r="U38">
        <v>199.46899999999999</v>
      </c>
      <c r="V38">
        <v>101.08499999999999</v>
      </c>
      <c r="W38">
        <v>94.55</v>
      </c>
      <c r="X38">
        <v>134.53899999999999</v>
      </c>
      <c r="AA38">
        <v>72.906000000000006</v>
      </c>
      <c r="AB38">
        <v>69.322999999999993</v>
      </c>
      <c r="AC38">
        <v>3.3359999999999999</v>
      </c>
      <c r="AD38">
        <v>5.6779999999999999</v>
      </c>
      <c r="AP38" t="str">
        <f t="shared" si="7"/>
        <v/>
      </c>
      <c r="AS38" t="str">
        <f t="shared" si="8"/>
        <v/>
      </c>
      <c r="AT38">
        <f t="shared" si="1"/>
        <v>225.56399999999999</v>
      </c>
      <c r="AU38">
        <f t="shared" si="2"/>
        <v>229.089</v>
      </c>
      <c r="AV38">
        <f t="shared" si="3"/>
        <v>0.72440944881889768</v>
      </c>
    </row>
    <row r="39" spans="1:48" x14ac:dyDescent="0.3">
      <c r="A39" s="1">
        <v>46187</v>
      </c>
      <c r="B39" t="s">
        <v>99</v>
      </c>
      <c r="C39" t="s">
        <v>91</v>
      </c>
      <c r="P39">
        <v>56</v>
      </c>
      <c r="AP39" t="str">
        <f t="shared" si="7"/>
        <v/>
      </c>
      <c r="AS39" t="str">
        <f t="shared" si="8"/>
        <v/>
      </c>
      <c r="AT39" t="str">
        <f t="shared" si="1"/>
        <v xml:space="preserve"> </v>
      </c>
      <c r="AU39" t="str">
        <f t="shared" si="2"/>
        <v xml:space="preserve"> </v>
      </c>
      <c r="AV39" t="str">
        <f t="shared" si="3"/>
        <v xml:space="preserve"> </v>
      </c>
    </row>
    <row r="40" spans="1:48" x14ac:dyDescent="0.3">
      <c r="A40" s="1">
        <v>46188</v>
      </c>
      <c r="B40" t="s">
        <v>103</v>
      </c>
      <c r="C40" t="s">
        <v>88</v>
      </c>
      <c r="H40">
        <v>113</v>
      </c>
      <c r="I40">
        <v>75</v>
      </c>
      <c r="J40">
        <v>134</v>
      </c>
      <c r="K40">
        <v>94</v>
      </c>
      <c r="L40">
        <v>188</v>
      </c>
      <c r="M40">
        <v>196</v>
      </c>
      <c r="N40">
        <v>180</v>
      </c>
      <c r="O40">
        <v>246</v>
      </c>
      <c r="AP40" t="str">
        <f t="shared" si="7"/>
        <v/>
      </c>
      <c r="AS40" t="str">
        <f t="shared" si="8"/>
        <v/>
      </c>
      <c r="AT40" t="str">
        <f t="shared" si="1"/>
        <v xml:space="preserve"> </v>
      </c>
      <c r="AU40" t="str">
        <f t="shared" si="2"/>
        <v xml:space="preserve"> </v>
      </c>
      <c r="AV40">
        <f t="shared" si="3"/>
        <v>0.71276595744680848</v>
      </c>
    </row>
    <row r="41" spans="1:48" x14ac:dyDescent="0.3">
      <c r="A41" s="1">
        <v>46189</v>
      </c>
      <c r="B41" t="s">
        <v>101</v>
      </c>
      <c r="C41" t="s">
        <v>87</v>
      </c>
      <c r="D41">
        <v>115</v>
      </c>
      <c r="E41">
        <v>135</v>
      </c>
      <c r="F41">
        <v>135</v>
      </c>
      <c r="G41">
        <v>125</v>
      </c>
      <c r="AP41" t="str">
        <f t="shared" si="7"/>
        <v/>
      </c>
      <c r="AS41" t="str">
        <f t="shared" si="8"/>
        <v/>
      </c>
      <c r="AT41" t="str">
        <f t="shared" si="1"/>
        <v xml:space="preserve"> </v>
      </c>
      <c r="AU41" t="str">
        <f t="shared" si="2"/>
        <v xml:space="preserve"> </v>
      </c>
      <c r="AV41" t="str">
        <f t="shared" si="3"/>
        <v xml:space="preserve"> </v>
      </c>
    </row>
    <row r="42" spans="1:48" x14ac:dyDescent="0.3">
      <c r="A42" s="1">
        <v>46189</v>
      </c>
      <c r="B42" t="s">
        <v>107</v>
      </c>
      <c r="C42" t="s">
        <v>87</v>
      </c>
      <c r="D42">
        <v>133</v>
      </c>
      <c r="E42">
        <v>115</v>
      </c>
      <c r="F42">
        <v>138</v>
      </c>
      <c r="G42">
        <v>121</v>
      </c>
      <c r="AP42" t="str">
        <f t="shared" si="7"/>
        <v/>
      </c>
      <c r="AS42" t="str">
        <f t="shared" si="8"/>
        <v/>
      </c>
      <c r="AT42" t="str">
        <f t="shared" si="1"/>
        <v xml:space="preserve"> </v>
      </c>
      <c r="AU42" t="str">
        <f t="shared" si="2"/>
        <v xml:space="preserve"> </v>
      </c>
      <c r="AV42" t="str">
        <f t="shared" si="3"/>
        <v xml:space="preserve"> </v>
      </c>
    </row>
    <row r="43" spans="1:48" x14ac:dyDescent="0.3">
      <c r="A43" s="1">
        <v>46189</v>
      </c>
      <c r="B43" t="s">
        <v>99</v>
      </c>
      <c r="C43" t="s">
        <v>90</v>
      </c>
      <c r="D43">
        <v>126</v>
      </c>
      <c r="E43">
        <v>119</v>
      </c>
      <c r="F43">
        <v>125</v>
      </c>
      <c r="G43">
        <v>115</v>
      </c>
      <c r="AP43" t="str">
        <f t="shared" si="7"/>
        <v/>
      </c>
      <c r="AS43" t="str">
        <f t="shared" si="8"/>
        <v/>
      </c>
      <c r="AT43" t="str">
        <f t="shared" si="1"/>
        <v xml:space="preserve"> </v>
      </c>
      <c r="AU43" t="str">
        <f t="shared" si="2"/>
        <v xml:space="preserve"> </v>
      </c>
      <c r="AV43" t="str">
        <f t="shared" si="3"/>
        <v xml:space="preserve"> </v>
      </c>
    </row>
    <row r="44" spans="1:48" x14ac:dyDescent="0.3">
      <c r="A44" s="1">
        <v>46189</v>
      </c>
      <c r="B44" t="s">
        <v>106</v>
      </c>
      <c r="C44" t="s">
        <v>87</v>
      </c>
      <c r="D44">
        <v>137</v>
      </c>
      <c r="E44">
        <v>134</v>
      </c>
      <c r="F44">
        <v>134</v>
      </c>
      <c r="G44">
        <v>124</v>
      </c>
      <c r="AP44" t="str">
        <f t="shared" si="7"/>
        <v/>
      </c>
      <c r="AS44" t="str">
        <f t="shared" si="8"/>
        <v/>
      </c>
      <c r="AT44" t="str">
        <f t="shared" si="1"/>
        <v xml:space="preserve"> </v>
      </c>
      <c r="AU44" t="str">
        <f t="shared" si="2"/>
        <v xml:space="preserve"> </v>
      </c>
      <c r="AV44" t="str">
        <f t="shared" si="3"/>
        <v xml:space="preserve"> </v>
      </c>
    </row>
    <row r="45" spans="1:48" x14ac:dyDescent="0.3">
      <c r="A45" s="1">
        <v>46189</v>
      </c>
      <c r="B45" t="s">
        <v>104</v>
      </c>
      <c r="C45" t="s">
        <v>87</v>
      </c>
      <c r="D45">
        <v>145</v>
      </c>
      <c r="E45">
        <v>141</v>
      </c>
      <c r="F45">
        <v>139</v>
      </c>
      <c r="G45">
        <v>149</v>
      </c>
      <c r="AP45" t="str">
        <f t="shared" si="7"/>
        <v/>
      </c>
      <c r="AS45" t="str">
        <f t="shared" si="8"/>
        <v/>
      </c>
      <c r="AT45" t="str">
        <f t="shared" si="1"/>
        <v xml:space="preserve"> </v>
      </c>
      <c r="AU45" t="str">
        <f t="shared" si="2"/>
        <v xml:space="preserve"> </v>
      </c>
      <c r="AV45" t="str">
        <f t="shared" si="3"/>
        <v xml:space="preserve"> </v>
      </c>
    </row>
    <row r="46" spans="1:48" x14ac:dyDescent="0.3">
      <c r="A46" s="1">
        <v>46189</v>
      </c>
      <c r="B46" t="s">
        <v>111</v>
      </c>
      <c r="C46" t="s">
        <v>87</v>
      </c>
      <c r="D46">
        <v>120</v>
      </c>
      <c r="E46">
        <v>121</v>
      </c>
      <c r="F46">
        <v>119</v>
      </c>
      <c r="G46">
        <v>115</v>
      </c>
      <c r="AP46" t="str">
        <f t="shared" si="7"/>
        <v/>
      </c>
      <c r="AS46" t="str">
        <f t="shared" si="8"/>
        <v/>
      </c>
      <c r="AT46" t="str">
        <f t="shared" si="1"/>
        <v xml:space="preserve"> </v>
      </c>
      <c r="AU46" t="str">
        <f t="shared" si="2"/>
        <v xml:space="preserve"> </v>
      </c>
      <c r="AV46" t="str">
        <f t="shared" si="3"/>
        <v xml:space="preserve"> </v>
      </c>
    </row>
    <row r="47" spans="1:48" x14ac:dyDescent="0.3">
      <c r="A47" s="1">
        <v>46190</v>
      </c>
      <c r="B47" t="s">
        <v>108</v>
      </c>
      <c r="C47" t="s">
        <v>89</v>
      </c>
      <c r="H47">
        <v>150</v>
      </c>
      <c r="I47">
        <v>162</v>
      </c>
      <c r="J47">
        <v>144</v>
      </c>
      <c r="K47">
        <v>145</v>
      </c>
      <c r="L47">
        <v>264</v>
      </c>
      <c r="M47">
        <v>216</v>
      </c>
      <c r="N47">
        <v>292</v>
      </c>
      <c r="O47">
        <v>205</v>
      </c>
      <c r="AP47" t="str">
        <f t="shared" si="7"/>
        <v/>
      </c>
      <c r="AS47" t="str">
        <f t="shared" si="8"/>
        <v/>
      </c>
      <c r="AT47" t="str">
        <f t="shared" si="1"/>
        <v xml:space="preserve"> </v>
      </c>
      <c r="AU47" t="str">
        <f t="shared" si="2"/>
        <v xml:space="preserve"> </v>
      </c>
      <c r="AV47">
        <f t="shared" si="3"/>
        <v>0.51369863013698636</v>
      </c>
    </row>
    <row r="48" spans="1:48" x14ac:dyDescent="0.3">
      <c r="A48" s="1">
        <v>46190</v>
      </c>
      <c r="B48" t="s">
        <v>105</v>
      </c>
      <c r="C48" t="s">
        <v>90</v>
      </c>
      <c r="D48">
        <v>120</v>
      </c>
      <c r="E48">
        <v>135</v>
      </c>
      <c r="F48">
        <v>116</v>
      </c>
      <c r="G48">
        <v>134</v>
      </c>
      <c r="AP48" t="str">
        <f t="shared" si="7"/>
        <v/>
      </c>
      <c r="AS48" t="str">
        <f t="shared" si="8"/>
        <v/>
      </c>
      <c r="AT48" t="str">
        <f t="shared" si="1"/>
        <v xml:space="preserve"> </v>
      </c>
      <c r="AU48" t="str">
        <f t="shared" si="2"/>
        <v xml:space="preserve"> </v>
      </c>
      <c r="AV48" t="str">
        <f t="shared" si="3"/>
        <v xml:space="preserve"> </v>
      </c>
    </row>
    <row r="49" spans="1:48" x14ac:dyDescent="0.3">
      <c r="A49" s="1">
        <v>46190</v>
      </c>
      <c r="B49" t="s">
        <v>99</v>
      </c>
      <c r="C49" t="s">
        <v>88</v>
      </c>
      <c r="H49">
        <v>154</v>
      </c>
      <c r="I49">
        <v>202</v>
      </c>
      <c r="J49">
        <v>190</v>
      </c>
      <c r="K49">
        <v>186</v>
      </c>
      <c r="L49">
        <v>181</v>
      </c>
      <c r="M49">
        <v>304</v>
      </c>
      <c r="N49">
        <v>200</v>
      </c>
      <c r="O49">
        <v>352</v>
      </c>
      <c r="AP49" t="str">
        <f t="shared" si="7"/>
        <v/>
      </c>
      <c r="AS49" t="str">
        <f t="shared" si="8"/>
        <v/>
      </c>
      <c r="AT49" t="str">
        <f t="shared" si="1"/>
        <v xml:space="preserve"> </v>
      </c>
      <c r="AU49" t="str">
        <f t="shared" si="2"/>
        <v xml:space="preserve"> </v>
      </c>
      <c r="AV49">
        <f t="shared" si="3"/>
        <v>0.95</v>
      </c>
    </row>
    <row r="50" spans="1:48" x14ac:dyDescent="0.3">
      <c r="A50" s="1">
        <v>46190</v>
      </c>
      <c r="B50" t="s">
        <v>102</v>
      </c>
      <c r="C50" t="s">
        <v>89</v>
      </c>
      <c r="H50">
        <v>121</v>
      </c>
      <c r="I50">
        <v>123</v>
      </c>
      <c r="J50">
        <v>129</v>
      </c>
      <c r="K50">
        <v>135</v>
      </c>
      <c r="L50">
        <v>203</v>
      </c>
      <c r="M50">
        <v>215</v>
      </c>
      <c r="N50">
        <v>215</v>
      </c>
      <c r="O50">
        <v>235</v>
      </c>
      <c r="AP50" t="str">
        <f t="shared" si="7"/>
        <v/>
      </c>
      <c r="AS50" t="str">
        <f t="shared" si="8"/>
        <v/>
      </c>
      <c r="AT50" t="str">
        <f t="shared" si="1"/>
        <v xml:space="preserve"> </v>
      </c>
      <c r="AU50" t="str">
        <f t="shared" si="2"/>
        <v xml:space="preserve"> </v>
      </c>
      <c r="AV50">
        <f t="shared" si="3"/>
        <v>0.6</v>
      </c>
    </row>
    <row r="51" spans="1:48" x14ac:dyDescent="0.3">
      <c r="A51" s="1">
        <v>46190</v>
      </c>
      <c r="B51" t="s">
        <v>104</v>
      </c>
      <c r="C51" t="s">
        <v>89</v>
      </c>
      <c r="H51">
        <v>186</v>
      </c>
      <c r="I51">
        <v>132</v>
      </c>
      <c r="J51">
        <v>188</v>
      </c>
      <c r="K51">
        <v>150</v>
      </c>
      <c r="L51">
        <v>196</v>
      </c>
      <c r="M51">
        <v>267</v>
      </c>
      <c r="N51">
        <v>217</v>
      </c>
      <c r="O51">
        <v>261</v>
      </c>
      <c r="AP51" t="str">
        <f t="shared" si="7"/>
        <v/>
      </c>
      <c r="AS51" t="str">
        <f t="shared" si="8"/>
        <v/>
      </c>
      <c r="AT51" t="str">
        <f t="shared" si="1"/>
        <v xml:space="preserve"> </v>
      </c>
      <c r="AU51" t="str">
        <f t="shared" si="2"/>
        <v xml:space="preserve"> </v>
      </c>
      <c r="AV51">
        <f t="shared" si="3"/>
        <v>0.86635944700460832</v>
      </c>
    </row>
    <row r="52" spans="1:48" x14ac:dyDescent="0.3">
      <c r="A52" s="1">
        <v>46191</v>
      </c>
      <c r="B52" t="s">
        <v>102</v>
      </c>
      <c r="C52" t="s">
        <v>87</v>
      </c>
      <c r="D52">
        <v>128</v>
      </c>
      <c r="E52">
        <v>120</v>
      </c>
      <c r="F52">
        <v>130</v>
      </c>
      <c r="G52">
        <v>114</v>
      </c>
      <c r="AP52" t="str">
        <f t="shared" si="7"/>
        <v/>
      </c>
      <c r="AS52" t="str">
        <f t="shared" si="8"/>
        <v/>
      </c>
      <c r="AT52" t="str">
        <f t="shared" si="1"/>
        <v xml:space="preserve"> </v>
      </c>
      <c r="AU52" t="str">
        <f t="shared" si="2"/>
        <v xml:space="preserve"> </v>
      </c>
      <c r="AV52" t="str">
        <f t="shared" si="3"/>
        <v xml:space="preserve"> </v>
      </c>
    </row>
    <row r="53" spans="1:48" x14ac:dyDescent="0.3">
      <c r="A53" s="1">
        <v>46191</v>
      </c>
      <c r="B53" t="s">
        <v>106</v>
      </c>
      <c r="C53" t="s">
        <v>89</v>
      </c>
      <c r="H53">
        <v>194</v>
      </c>
      <c r="I53">
        <v>120</v>
      </c>
      <c r="J53">
        <v>188</v>
      </c>
      <c r="K53">
        <v>122</v>
      </c>
      <c r="L53">
        <v>267</v>
      </c>
      <c r="M53">
        <v>144</v>
      </c>
      <c r="N53">
        <v>232</v>
      </c>
      <c r="O53">
        <v>177</v>
      </c>
      <c r="AP53" t="str">
        <f t="shared" si="7"/>
        <v/>
      </c>
      <c r="AS53" t="str">
        <f t="shared" si="8"/>
        <v/>
      </c>
      <c r="AT53" t="str">
        <f t="shared" si="1"/>
        <v xml:space="preserve"> </v>
      </c>
      <c r="AU53" t="str">
        <f t="shared" si="2"/>
        <v xml:space="preserve"> </v>
      </c>
      <c r="AV53">
        <f t="shared" si="3"/>
        <v>0.72659176029962547</v>
      </c>
    </row>
    <row r="54" spans="1:48" x14ac:dyDescent="0.3">
      <c r="A54" s="1">
        <v>46191</v>
      </c>
      <c r="B54" t="s">
        <v>108</v>
      </c>
      <c r="C54" t="s">
        <v>87</v>
      </c>
      <c r="D54">
        <v>130</v>
      </c>
      <c r="E54">
        <v>128</v>
      </c>
      <c r="F54">
        <v>133</v>
      </c>
      <c r="G54">
        <v>125</v>
      </c>
      <c r="AP54" t="str">
        <f t="shared" si="7"/>
        <v/>
      </c>
      <c r="AS54" t="str">
        <f t="shared" ref="AS54:AS55" si="9">IFERROR((AQ54/100)/AR54, "")</f>
        <v/>
      </c>
      <c r="AT54" t="str">
        <f t="shared" si="1"/>
        <v xml:space="preserve"> </v>
      </c>
      <c r="AU54" t="str">
        <f t="shared" si="2"/>
        <v xml:space="preserve"> </v>
      </c>
      <c r="AV54" t="str">
        <f t="shared" si="3"/>
        <v xml:space="preserve"> </v>
      </c>
    </row>
    <row r="55" spans="1:48" x14ac:dyDescent="0.3">
      <c r="A55" s="1">
        <v>46191</v>
      </c>
      <c r="B55" t="s">
        <v>105</v>
      </c>
      <c r="C55" t="s">
        <v>88</v>
      </c>
      <c r="H55">
        <v>151</v>
      </c>
      <c r="I55">
        <v>151</v>
      </c>
      <c r="J55">
        <v>139</v>
      </c>
      <c r="K55">
        <v>151</v>
      </c>
      <c r="L55">
        <v>187</v>
      </c>
      <c r="M55">
        <v>210</v>
      </c>
      <c r="N55">
        <v>239</v>
      </c>
      <c r="O55">
        <v>195</v>
      </c>
      <c r="AP55" t="str">
        <f t="shared" si="7"/>
        <v/>
      </c>
      <c r="AS55" t="str">
        <f t="shared" si="9"/>
        <v/>
      </c>
      <c r="AT55" t="str">
        <f t="shared" si="1"/>
        <v xml:space="preserve"> </v>
      </c>
      <c r="AU55" t="str">
        <f t="shared" si="2"/>
        <v xml:space="preserve"> </v>
      </c>
      <c r="AV55">
        <f t="shared" si="3"/>
        <v>0.63179916317991636</v>
      </c>
    </row>
    <row r="56" spans="1:48" x14ac:dyDescent="0.3">
      <c r="A56" s="1">
        <v>42539</v>
      </c>
      <c r="B56" t="s">
        <v>110</v>
      </c>
      <c r="C56" t="s">
        <v>87</v>
      </c>
      <c r="D56">
        <v>119</v>
      </c>
      <c r="E56">
        <v>138</v>
      </c>
      <c r="F56">
        <v>121</v>
      </c>
      <c r="G56">
        <v>117</v>
      </c>
      <c r="AP56" t="str">
        <f t="shared" si="7"/>
        <v/>
      </c>
      <c r="AT56" t="str">
        <f t="shared" si="1"/>
        <v xml:space="preserve"> </v>
      </c>
      <c r="AU56" t="str">
        <f t="shared" si="2"/>
        <v xml:space="preserve"> </v>
      </c>
      <c r="AV56" t="str">
        <f t="shared" si="3"/>
        <v xml:space="preserve"> </v>
      </c>
    </row>
    <row r="57" spans="1:48" x14ac:dyDescent="0.3">
      <c r="A57" s="1">
        <v>46192</v>
      </c>
      <c r="B57" t="s">
        <v>100</v>
      </c>
      <c r="C57" t="s">
        <v>90</v>
      </c>
      <c r="D57">
        <v>119</v>
      </c>
      <c r="E57">
        <v>130</v>
      </c>
      <c r="F57">
        <v>120</v>
      </c>
      <c r="G57">
        <v>123</v>
      </c>
      <c r="AP57" t="str">
        <f t="shared" si="7"/>
        <v/>
      </c>
      <c r="AT57" t="str">
        <f t="shared" si="1"/>
        <v xml:space="preserve"> </v>
      </c>
      <c r="AU57" t="str">
        <f t="shared" si="2"/>
        <v xml:space="preserve"> </v>
      </c>
      <c r="AV57" t="str">
        <f t="shared" si="3"/>
        <v xml:space="preserve"> </v>
      </c>
    </row>
    <row r="58" spans="1:48" x14ac:dyDescent="0.3">
      <c r="A58" s="1">
        <v>46193</v>
      </c>
      <c r="B58" t="s">
        <v>110</v>
      </c>
      <c r="C58" t="s">
        <v>89</v>
      </c>
      <c r="H58">
        <v>180</v>
      </c>
      <c r="I58">
        <v>139</v>
      </c>
      <c r="J58">
        <v>205</v>
      </c>
      <c r="K58">
        <v>156</v>
      </c>
      <c r="L58">
        <v>210</v>
      </c>
      <c r="M58">
        <v>216</v>
      </c>
      <c r="N58">
        <v>216</v>
      </c>
      <c r="O58">
        <v>205</v>
      </c>
      <c r="AP58" t="str">
        <f t="shared" si="7"/>
        <v/>
      </c>
      <c r="AT58" t="str">
        <f t="shared" si="1"/>
        <v xml:space="preserve"> </v>
      </c>
      <c r="AU58" t="str">
        <f t="shared" si="2"/>
        <v xml:space="preserve"> </v>
      </c>
      <c r="AV58">
        <f t="shared" si="3"/>
        <v>0.94907407407407407</v>
      </c>
    </row>
    <row r="59" spans="1:48" x14ac:dyDescent="0.3">
      <c r="A59" s="1">
        <v>46193</v>
      </c>
      <c r="B59" t="s">
        <v>109</v>
      </c>
      <c r="C59" t="s">
        <v>90</v>
      </c>
      <c r="D59">
        <v>154</v>
      </c>
      <c r="E59">
        <v>170</v>
      </c>
      <c r="F59">
        <v>150</v>
      </c>
      <c r="G59">
        <v>149</v>
      </c>
      <c r="AP59" t="str">
        <f t="shared" si="7"/>
        <v/>
      </c>
      <c r="AS59" t="str">
        <f t="shared" si="1"/>
        <v xml:space="preserve"> </v>
      </c>
      <c r="AT59" t="str">
        <f t="shared" si="1"/>
        <v xml:space="preserve"> </v>
      </c>
      <c r="AU59" t="str">
        <f t="shared" si="2"/>
        <v xml:space="preserve"> </v>
      </c>
      <c r="AV59" t="str">
        <f t="shared" si="3"/>
        <v xml:space="preserve"> </v>
      </c>
    </row>
    <row r="60" spans="1:48" x14ac:dyDescent="0.3">
      <c r="A60" s="1">
        <v>46193</v>
      </c>
      <c r="B60" t="s">
        <v>100</v>
      </c>
      <c r="C60" t="s">
        <v>88</v>
      </c>
      <c r="H60">
        <v>193</v>
      </c>
      <c r="I60">
        <v>195</v>
      </c>
      <c r="J60">
        <v>140</v>
      </c>
      <c r="K60">
        <v>158</v>
      </c>
      <c r="L60">
        <v>295</v>
      </c>
      <c r="M60">
        <v>267</v>
      </c>
      <c r="N60">
        <v>323</v>
      </c>
      <c r="O60">
        <v>281</v>
      </c>
      <c r="AP60" t="str">
        <f t="shared" si="7"/>
        <v/>
      </c>
      <c r="AT60" t="str">
        <f t="shared" si="1"/>
        <v xml:space="preserve"> </v>
      </c>
      <c r="AU60" t="str">
        <f t="shared" si="2"/>
        <v xml:space="preserve"> </v>
      </c>
      <c r="AV60">
        <f t="shared" si="3"/>
        <v>0.5975232198142415</v>
      </c>
    </row>
    <row r="61" spans="1:48" x14ac:dyDescent="0.3">
      <c r="A61" s="1">
        <v>46193</v>
      </c>
      <c r="B61" t="s">
        <v>103</v>
      </c>
      <c r="C61" t="s">
        <v>91</v>
      </c>
      <c r="AP61" t="str">
        <f t="shared" si="7"/>
        <v/>
      </c>
      <c r="AT61" t="str">
        <f t="shared" ref="AT61:AT87" si="10">IF(S61+T61=0," ", S61+T61)</f>
        <v xml:space="preserve"> </v>
      </c>
      <c r="AU61" t="str">
        <f t="shared" ref="AU61:AU87" si="11">IF(W61+X61=0, " ", W61+X61)</f>
        <v xml:space="preserve"> </v>
      </c>
      <c r="AV61" t="str">
        <f t="shared" si="3"/>
        <v xml:space="preserve"> </v>
      </c>
    </row>
    <row r="62" spans="1:48" x14ac:dyDescent="0.3">
      <c r="A62" s="1">
        <v>46193</v>
      </c>
      <c r="B62" t="s">
        <v>107</v>
      </c>
      <c r="C62" t="s">
        <v>89</v>
      </c>
      <c r="H62">
        <v>118</v>
      </c>
      <c r="I62">
        <v>137</v>
      </c>
      <c r="J62">
        <v>159</v>
      </c>
      <c r="K62">
        <v>132</v>
      </c>
      <c r="L62">
        <v>267</v>
      </c>
      <c r="M62">
        <v>303</v>
      </c>
      <c r="N62">
        <v>273</v>
      </c>
      <c r="O62">
        <v>282</v>
      </c>
      <c r="AP62" t="str">
        <f t="shared" si="7"/>
        <v/>
      </c>
      <c r="AT62" t="str">
        <f t="shared" si="10"/>
        <v xml:space="preserve"> </v>
      </c>
      <c r="AU62" t="str">
        <f t="shared" si="11"/>
        <v xml:space="preserve"> </v>
      </c>
      <c r="AV62">
        <f t="shared" si="3"/>
        <v>0.58241758241758246</v>
      </c>
    </row>
    <row r="63" spans="1:48" x14ac:dyDescent="0.3">
      <c r="A63" s="1">
        <v>46194</v>
      </c>
      <c r="B63" t="s">
        <v>109</v>
      </c>
      <c r="C63" t="s">
        <v>88</v>
      </c>
      <c r="H63">
        <v>149</v>
      </c>
      <c r="I63">
        <v>128</v>
      </c>
      <c r="J63">
        <v>152</v>
      </c>
      <c r="K63">
        <v>134</v>
      </c>
      <c r="L63">
        <v>166</v>
      </c>
      <c r="M63">
        <v>285</v>
      </c>
      <c r="N63">
        <v>238</v>
      </c>
      <c r="O63">
        <v>274</v>
      </c>
      <c r="AP63" t="str">
        <f t="shared" si="7"/>
        <v/>
      </c>
      <c r="AT63" t="str">
        <f t="shared" si="10"/>
        <v xml:space="preserve"> </v>
      </c>
      <c r="AU63" t="str">
        <f t="shared" si="11"/>
        <v xml:space="preserve"> </v>
      </c>
      <c r="AV63">
        <f t="shared" si="3"/>
        <v>0.6386554621848739</v>
      </c>
    </row>
    <row r="64" spans="1:48" x14ac:dyDescent="0.3">
      <c r="A64" s="1">
        <v>46194</v>
      </c>
      <c r="B64" t="s">
        <v>111</v>
      </c>
      <c r="C64" t="s">
        <v>89</v>
      </c>
      <c r="H64">
        <v>153</v>
      </c>
      <c r="I64">
        <v>138</v>
      </c>
      <c r="J64">
        <v>154</v>
      </c>
      <c r="K64">
        <v>143</v>
      </c>
      <c r="L64">
        <v>207</v>
      </c>
      <c r="M64">
        <v>212</v>
      </c>
      <c r="N64">
        <v>238</v>
      </c>
      <c r="O64">
        <v>231</v>
      </c>
      <c r="AP64" t="str">
        <f t="shared" si="7"/>
        <v/>
      </c>
      <c r="AT64" t="str">
        <f t="shared" si="10"/>
        <v xml:space="preserve"> </v>
      </c>
      <c r="AU64" t="str">
        <f t="shared" si="11"/>
        <v xml:space="preserve"> </v>
      </c>
      <c r="AV64">
        <f t="shared" si="3"/>
        <v>0.6470588235294118</v>
      </c>
    </row>
    <row r="65" spans="1:48" x14ac:dyDescent="0.3">
      <c r="A65" s="1">
        <v>46194</v>
      </c>
      <c r="B65" t="s">
        <v>101</v>
      </c>
      <c r="C65" t="s">
        <v>89</v>
      </c>
      <c r="H65">
        <v>193</v>
      </c>
      <c r="I65">
        <v>99</v>
      </c>
      <c r="J65">
        <v>178</v>
      </c>
      <c r="K65">
        <v>92</v>
      </c>
      <c r="L65">
        <v>245</v>
      </c>
      <c r="M65">
        <v>79</v>
      </c>
      <c r="N65">
        <v>240</v>
      </c>
      <c r="O65">
        <v>90</v>
      </c>
      <c r="AP65" t="str">
        <f t="shared" si="7"/>
        <v/>
      </c>
      <c r="AT65" t="str">
        <f t="shared" si="10"/>
        <v xml:space="preserve"> </v>
      </c>
      <c r="AU65" t="str">
        <f t="shared" si="11"/>
        <v xml:space="preserve"> </v>
      </c>
      <c r="AV65">
        <f t="shared" si="3"/>
        <v>0.78775510204081634</v>
      </c>
    </row>
    <row r="66" spans="1:48" x14ac:dyDescent="0.3">
      <c r="A66" s="1">
        <v>46194</v>
      </c>
      <c r="B66" t="s">
        <v>99</v>
      </c>
      <c r="C66" t="s">
        <v>91</v>
      </c>
      <c r="AP66" t="str">
        <f t="shared" si="7"/>
        <v/>
      </c>
      <c r="AT66" t="str">
        <f t="shared" si="10"/>
        <v xml:space="preserve"> </v>
      </c>
      <c r="AU66" t="str">
        <f t="shared" si="11"/>
        <v xml:space="preserve"> </v>
      </c>
      <c r="AV66" t="str">
        <f t="shared" si="3"/>
        <v xml:space="preserve"> </v>
      </c>
    </row>
    <row r="67" spans="1:48" x14ac:dyDescent="0.3">
      <c r="A67" s="1">
        <v>46195</v>
      </c>
      <c r="B67" t="s">
        <v>106</v>
      </c>
      <c r="C67" t="s">
        <v>89</v>
      </c>
      <c r="H67">
        <v>136</v>
      </c>
      <c r="I67">
        <v>120</v>
      </c>
      <c r="J67">
        <v>137</v>
      </c>
      <c r="K67">
        <v>138</v>
      </c>
      <c r="L67">
        <v>190</v>
      </c>
      <c r="M67">
        <v>173</v>
      </c>
      <c r="N67">
        <v>184</v>
      </c>
      <c r="O67">
        <v>186</v>
      </c>
      <c r="AP67" t="str">
        <f t="shared" si="7"/>
        <v/>
      </c>
      <c r="AT67" t="str">
        <f t="shared" si="10"/>
        <v xml:space="preserve"> </v>
      </c>
      <c r="AU67" t="str">
        <f t="shared" si="11"/>
        <v xml:space="preserve"> </v>
      </c>
      <c r="AV67">
        <f t="shared" ref="AV67:AV87" si="12">IFERROR((MAX(H67,J67))/(MAX(L67,N67)), " ")</f>
        <v>0.72105263157894739</v>
      </c>
    </row>
    <row r="68" spans="1:48" x14ac:dyDescent="0.3">
      <c r="A68" s="1">
        <v>46195</v>
      </c>
      <c r="B68" t="s">
        <v>102</v>
      </c>
      <c r="C68" t="s">
        <v>89</v>
      </c>
      <c r="H68">
        <v>148</v>
      </c>
      <c r="I68">
        <v>130</v>
      </c>
      <c r="J68">
        <v>154</v>
      </c>
      <c r="K68">
        <v>147</v>
      </c>
      <c r="L68">
        <v>208</v>
      </c>
      <c r="M68">
        <v>237</v>
      </c>
      <c r="N68">
        <v>181</v>
      </c>
      <c r="O68">
        <v>245</v>
      </c>
      <c r="AP68" t="str">
        <f t="shared" si="7"/>
        <v/>
      </c>
      <c r="AT68" t="str">
        <f t="shared" si="10"/>
        <v xml:space="preserve"> </v>
      </c>
      <c r="AU68" t="str">
        <f t="shared" si="11"/>
        <v xml:space="preserve"> </v>
      </c>
      <c r="AV68">
        <f t="shared" si="12"/>
        <v>0.74038461538461542</v>
      </c>
    </row>
    <row r="69" spans="1:48" x14ac:dyDescent="0.3">
      <c r="A69" s="1">
        <v>46196</v>
      </c>
      <c r="B69" t="s">
        <v>107</v>
      </c>
      <c r="C69" t="s">
        <v>87</v>
      </c>
      <c r="D69">
        <v>136</v>
      </c>
      <c r="E69">
        <v>110</v>
      </c>
      <c r="F69">
        <v>134</v>
      </c>
      <c r="AP69" t="str">
        <f t="shared" si="7"/>
        <v/>
      </c>
      <c r="AT69" t="str">
        <f t="shared" si="10"/>
        <v xml:space="preserve"> </v>
      </c>
      <c r="AU69" t="str">
        <f t="shared" si="11"/>
        <v xml:space="preserve"> </v>
      </c>
      <c r="AV69" t="str">
        <f t="shared" si="12"/>
        <v xml:space="preserve"> </v>
      </c>
    </row>
    <row r="70" spans="1:48" x14ac:dyDescent="0.3">
      <c r="A70" s="1">
        <v>46196</v>
      </c>
      <c r="B70" t="s">
        <v>111</v>
      </c>
      <c r="C70" t="s">
        <v>87</v>
      </c>
      <c r="D70">
        <v>120</v>
      </c>
      <c r="E70">
        <v>120</v>
      </c>
      <c r="F70">
        <v>126</v>
      </c>
      <c r="G70">
        <v>128</v>
      </c>
      <c r="AP70" t="str">
        <f t="shared" si="7"/>
        <v/>
      </c>
      <c r="AT70" t="str">
        <f t="shared" si="10"/>
        <v xml:space="preserve"> </v>
      </c>
      <c r="AU70" t="str">
        <f t="shared" si="11"/>
        <v xml:space="preserve"> </v>
      </c>
      <c r="AV70" t="str">
        <f t="shared" si="12"/>
        <v xml:space="preserve"> </v>
      </c>
    </row>
    <row r="71" spans="1:48" x14ac:dyDescent="0.3">
      <c r="A71" s="1">
        <v>46196</v>
      </c>
      <c r="B71" t="s">
        <v>103</v>
      </c>
      <c r="C71" t="s">
        <v>98</v>
      </c>
      <c r="D71">
        <v>154</v>
      </c>
      <c r="E71">
        <v>147</v>
      </c>
      <c r="F71">
        <v>133</v>
      </c>
      <c r="G71">
        <v>140</v>
      </c>
      <c r="H71">
        <v>106</v>
      </c>
      <c r="I71">
        <v>104</v>
      </c>
      <c r="J71">
        <v>109</v>
      </c>
      <c r="K71">
        <v>100</v>
      </c>
      <c r="L71">
        <v>171</v>
      </c>
      <c r="M71">
        <v>173</v>
      </c>
      <c r="N71">
        <v>178</v>
      </c>
      <c r="O71">
        <v>196</v>
      </c>
      <c r="AP71" t="str">
        <f t="shared" si="7"/>
        <v/>
      </c>
      <c r="AT71" t="str">
        <f t="shared" si="10"/>
        <v xml:space="preserve"> </v>
      </c>
      <c r="AU71" t="str">
        <f t="shared" si="11"/>
        <v xml:space="preserve"> </v>
      </c>
      <c r="AV71">
        <f t="shared" si="12"/>
        <v>0.61235955056179781</v>
      </c>
    </row>
    <row r="72" spans="1:48" x14ac:dyDescent="0.3">
      <c r="A72" s="1">
        <v>46196</v>
      </c>
      <c r="B72" t="s">
        <v>99</v>
      </c>
      <c r="C72" t="s">
        <v>90</v>
      </c>
      <c r="D72">
        <v>141</v>
      </c>
      <c r="E72">
        <v>119</v>
      </c>
      <c r="F72">
        <v>130</v>
      </c>
      <c r="G72">
        <v>120</v>
      </c>
      <c r="AP72" t="str">
        <f t="shared" si="7"/>
        <v/>
      </c>
      <c r="AT72" t="str">
        <f t="shared" si="10"/>
        <v xml:space="preserve"> </v>
      </c>
      <c r="AU72" t="str">
        <f t="shared" si="11"/>
        <v xml:space="preserve"> </v>
      </c>
      <c r="AV72" t="str">
        <f t="shared" si="12"/>
        <v xml:space="preserve"> </v>
      </c>
    </row>
    <row r="73" spans="1:48" x14ac:dyDescent="0.3">
      <c r="A73" s="1">
        <v>46197</v>
      </c>
      <c r="B73" t="s">
        <v>100</v>
      </c>
      <c r="C73" t="s">
        <v>91</v>
      </c>
      <c r="AP73" t="str">
        <f t="shared" si="7"/>
        <v/>
      </c>
      <c r="AT73" t="str">
        <f t="shared" si="10"/>
        <v xml:space="preserve"> </v>
      </c>
      <c r="AU73" t="str">
        <f t="shared" si="11"/>
        <v xml:space="preserve"> </v>
      </c>
      <c r="AV73" t="str">
        <f t="shared" si="12"/>
        <v xml:space="preserve"> </v>
      </c>
    </row>
    <row r="74" spans="1:48" x14ac:dyDescent="0.3">
      <c r="A74" s="1">
        <v>46197</v>
      </c>
      <c r="B74" t="s">
        <v>104</v>
      </c>
      <c r="C74" t="s">
        <v>89</v>
      </c>
      <c r="H74">
        <v>186</v>
      </c>
      <c r="I74">
        <v>132</v>
      </c>
      <c r="J74">
        <v>156</v>
      </c>
      <c r="K74">
        <v>137</v>
      </c>
      <c r="L74">
        <v>263</v>
      </c>
      <c r="M74">
        <v>168</v>
      </c>
      <c r="N74">
        <v>219</v>
      </c>
      <c r="O74">
        <v>195</v>
      </c>
      <c r="AP74" t="str">
        <f t="shared" si="7"/>
        <v/>
      </c>
      <c r="AT74" t="str">
        <f t="shared" si="10"/>
        <v xml:space="preserve"> </v>
      </c>
      <c r="AU74" t="str">
        <f t="shared" si="11"/>
        <v xml:space="preserve"> </v>
      </c>
      <c r="AV74">
        <f t="shared" si="12"/>
        <v>0.70722433460076051</v>
      </c>
    </row>
    <row r="75" spans="1:48" x14ac:dyDescent="0.3">
      <c r="A75" s="1">
        <v>46197</v>
      </c>
      <c r="B75" t="s">
        <v>111</v>
      </c>
      <c r="C75" t="s">
        <v>89</v>
      </c>
      <c r="H75">
        <v>146</v>
      </c>
      <c r="I75">
        <v>151</v>
      </c>
      <c r="J75">
        <v>144</v>
      </c>
      <c r="K75">
        <v>159</v>
      </c>
      <c r="L75">
        <v>216</v>
      </c>
      <c r="M75">
        <v>164</v>
      </c>
      <c r="N75">
        <v>240</v>
      </c>
      <c r="O75">
        <v>172</v>
      </c>
      <c r="AP75" t="str">
        <f t="shared" si="7"/>
        <v/>
      </c>
      <c r="AT75" t="str">
        <f t="shared" si="10"/>
        <v xml:space="preserve"> </v>
      </c>
      <c r="AU75" t="str">
        <f t="shared" si="11"/>
        <v xml:space="preserve"> </v>
      </c>
      <c r="AV75">
        <f t="shared" si="12"/>
        <v>0.60833333333333328</v>
      </c>
    </row>
    <row r="76" spans="1:48" x14ac:dyDescent="0.3">
      <c r="A76" s="1">
        <v>46176</v>
      </c>
      <c r="B76" t="s">
        <v>102</v>
      </c>
      <c r="C76" t="s">
        <v>87</v>
      </c>
      <c r="D76">
        <v>156</v>
      </c>
      <c r="E76">
        <v>126</v>
      </c>
      <c r="F76">
        <v>157</v>
      </c>
      <c r="G76">
        <v>137</v>
      </c>
      <c r="H76">
        <v>162</v>
      </c>
      <c r="I76">
        <v>148</v>
      </c>
      <c r="J76">
        <v>160</v>
      </c>
      <c r="K76">
        <v>150</v>
      </c>
      <c r="L76">
        <v>170</v>
      </c>
      <c r="M76">
        <v>155</v>
      </c>
      <c r="N76">
        <v>168</v>
      </c>
      <c r="O76">
        <v>162</v>
      </c>
      <c r="P76">
        <v>38</v>
      </c>
      <c r="Q76">
        <v>179.73</v>
      </c>
      <c r="R76">
        <v>65.569999999999993</v>
      </c>
      <c r="S76">
        <v>84.22</v>
      </c>
      <c r="T76">
        <v>85.41</v>
      </c>
      <c r="U76">
        <v>174.55</v>
      </c>
      <c r="V76">
        <v>56.3</v>
      </c>
      <c r="W76">
        <v>78.599999999999994</v>
      </c>
      <c r="X76">
        <v>94.39</v>
      </c>
      <c r="Y76">
        <v>59.67</v>
      </c>
      <c r="Z76">
        <v>61.69</v>
      </c>
      <c r="AA76">
        <v>5.78</v>
      </c>
      <c r="AB76">
        <v>4.84</v>
      </c>
      <c r="AC76">
        <v>0.62</v>
      </c>
      <c r="AD76">
        <v>0.88</v>
      </c>
      <c r="AE76">
        <v>12.4</v>
      </c>
      <c r="AF76">
        <v>7.9</v>
      </c>
      <c r="AG76">
        <v>21.3</v>
      </c>
      <c r="AH76">
        <v>19.8</v>
      </c>
      <c r="AI76">
        <v>23.1</v>
      </c>
      <c r="AJ76">
        <v>24.6</v>
      </c>
      <c r="AK76">
        <v>169.63</v>
      </c>
      <c r="AL76">
        <v>28.4</v>
      </c>
      <c r="AM76">
        <v>0.72</v>
      </c>
      <c r="AN76">
        <v>171</v>
      </c>
      <c r="AO76">
        <v>0.68</v>
      </c>
      <c r="AP76">
        <f t="shared" si="7"/>
        <v>2.5147058823529411</v>
      </c>
      <c r="AT76">
        <f t="shared" si="10"/>
        <v>169.63</v>
      </c>
      <c r="AU76">
        <f t="shared" si="11"/>
        <v>172.99</v>
      </c>
      <c r="AV76">
        <f t="shared" si="12"/>
        <v>0.95294117647058818</v>
      </c>
    </row>
    <row r="77" spans="1:48" x14ac:dyDescent="0.3">
      <c r="A77" s="1">
        <v>46177</v>
      </c>
      <c r="B77" t="s">
        <v>100</v>
      </c>
      <c r="C77" t="s">
        <v>87</v>
      </c>
      <c r="D77">
        <v>124</v>
      </c>
      <c r="E77">
        <v>126</v>
      </c>
      <c r="F77">
        <v>120</v>
      </c>
      <c r="G77">
        <v>122</v>
      </c>
      <c r="H77">
        <v>159</v>
      </c>
      <c r="I77">
        <v>118</v>
      </c>
      <c r="J77">
        <v>173</v>
      </c>
      <c r="K77">
        <v>107</v>
      </c>
      <c r="L77">
        <v>234</v>
      </c>
      <c r="M77">
        <v>256</v>
      </c>
      <c r="N77">
        <v>273</v>
      </c>
      <c r="O77">
        <v>234</v>
      </c>
      <c r="P77">
        <v>42</v>
      </c>
      <c r="Q77">
        <v>198.21</v>
      </c>
      <c r="R77">
        <v>63.48</v>
      </c>
      <c r="S77">
        <v>61.08</v>
      </c>
      <c r="T77">
        <v>124.99</v>
      </c>
      <c r="U77">
        <v>65.48</v>
      </c>
      <c r="V77">
        <v>59.38</v>
      </c>
      <c r="W77">
        <v>70.08</v>
      </c>
      <c r="X77">
        <v>65.959999999999994</v>
      </c>
      <c r="Y77">
        <v>3.48</v>
      </c>
      <c r="Z77">
        <v>5.1100000000000003</v>
      </c>
      <c r="AA77">
        <v>1.42</v>
      </c>
      <c r="AB77">
        <v>162.47999999999999</v>
      </c>
      <c r="AC77">
        <v>28.49</v>
      </c>
      <c r="AD77">
        <v>1.63</v>
      </c>
      <c r="AE77">
        <v>20.84</v>
      </c>
      <c r="AF77">
        <v>14.4</v>
      </c>
      <c r="AG77">
        <v>21.2</v>
      </c>
      <c r="AH77">
        <v>48.17</v>
      </c>
      <c r="AI77">
        <v>51.28</v>
      </c>
      <c r="AJ77">
        <v>20.16</v>
      </c>
      <c r="AK77">
        <v>0.68</v>
      </c>
      <c r="AL77">
        <v>0.3</v>
      </c>
      <c r="AM77">
        <v>20.04</v>
      </c>
      <c r="AN77">
        <v>0.78</v>
      </c>
      <c r="AO77">
        <v>0.26</v>
      </c>
      <c r="AP77">
        <f t="shared" si="7"/>
        <v>3.0000000000000002E-2</v>
      </c>
      <c r="AT77">
        <f t="shared" si="10"/>
        <v>186.07</v>
      </c>
      <c r="AU77">
        <f t="shared" si="11"/>
        <v>136.04</v>
      </c>
      <c r="AV77">
        <f t="shared" si="12"/>
        <v>0.63369963369963367</v>
      </c>
    </row>
    <row r="78" spans="1:48" x14ac:dyDescent="0.3">
      <c r="A78" s="1">
        <v>46177</v>
      </c>
      <c r="B78" t="s">
        <v>110</v>
      </c>
      <c r="C78" t="s">
        <v>87</v>
      </c>
      <c r="D78">
        <v>122</v>
      </c>
      <c r="E78">
        <v>127</v>
      </c>
      <c r="F78">
        <v>118</v>
      </c>
      <c r="G78">
        <v>119</v>
      </c>
      <c r="H78">
        <v>157</v>
      </c>
      <c r="I78">
        <v>146</v>
      </c>
      <c r="J78">
        <v>158</v>
      </c>
      <c r="K78">
        <v>151</v>
      </c>
      <c r="L78">
        <v>228</v>
      </c>
      <c r="M78">
        <v>224</v>
      </c>
      <c r="N78">
        <v>182</v>
      </c>
      <c r="O78">
        <v>217</v>
      </c>
      <c r="P78">
        <v>39</v>
      </c>
      <c r="Q78">
        <v>196.21</v>
      </c>
      <c r="R78">
        <v>77.569999999999993</v>
      </c>
      <c r="S78">
        <v>112.99</v>
      </c>
      <c r="T78">
        <v>101.86</v>
      </c>
      <c r="U78">
        <v>199.26</v>
      </c>
      <c r="V78">
        <v>73.77</v>
      </c>
      <c r="W78">
        <v>90.25</v>
      </c>
      <c r="X78">
        <v>135.08000000000001</v>
      </c>
      <c r="Y78">
        <v>66.2</v>
      </c>
      <c r="Z78">
        <v>80.66</v>
      </c>
      <c r="AA78">
        <v>71.849999999999994</v>
      </c>
      <c r="AB78">
        <v>72.84</v>
      </c>
      <c r="AC78">
        <v>6.04</v>
      </c>
      <c r="AD78">
        <v>3.18</v>
      </c>
      <c r="AE78">
        <v>-4.34</v>
      </c>
      <c r="AF78">
        <v>167.17</v>
      </c>
      <c r="AG78">
        <v>34.409999999999997</v>
      </c>
      <c r="AH78">
        <v>-5.96</v>
      </c>
      <c r="AI78">
        <v>21.44</v>
      </c>
      <c r="AJ78">
        <v>-4.0999999999999996</v>
      </c>
      <c r="AK78">
        <v>18.850000000000001</v>
      </c>
      <c r="AL78">
        <v>31.67</v>
      </c>
      <c r="AM78">
        <v>24.83</v>
      </c>
      <c r="AN78">
        <v>22.03</v>
      </c>
      <c r="AO78">
        <v>0.85</v>
      </c>
      <c r="AP78">
        <f t="shared" si="7"/>
        <v>0.25917647058823534</v>
      </c>
      <c r="AT78">
        <f t="shared" si="10"/>
        <v>214.85</v>
      </c>
      <c r="AU78">
        <f t="shared" si="11"/>
        <v>225.33</v>
      </c>
      <c r="AV78">
        <f t="shared" si="12"/>
        <v>0.69298245614035092</v>
      </c>
    </row>
    <row r="79" spans="1:48" x14ac:dyDescent="0.3">
      <c r="A79" s="1">
        <v>46178</v>
      </c>
      <c r="B79" t="s">
        <v>107</v>
      </c>
      <c r="C79" t="s">
        <v>89</v>
      </c>
      <c r="D79">
        <v>110</v>
      </c>
      <c r="E79">
        <v>101</v>
      </c>
      <c r="F79">
        <v>108</v>
      </c>
      <c r="G79">
        <v>128</v>
      </c>
      <c r="H79">
        <v>99</v>
      </c>
      <c r="I79">
        <v>105</v>
      </c>
      <c r="J79">
        <v>120</v>
      </c>
      <c r="K79">
        <v>99</v>
      </c>
      <c r="L79">
        <v>274</v>
      </c>
      <c r="M79">
        <v>302</v>
      </c>
      <c r="N79">
        <v>251</v>
      </c>
      <c r="O79">
        <v>279</v>
      </c>
      <c r="P79">
        <v>54</v>
      </c>
      <c r="Q79">
        <v>205.91</v>
      </c>
      <c r="R79">
        <v>60.41</v>
      </c>
      <c r="S79">
        <v>96.26</v>
      </c>
      <c r="T79">
        <v>94.25</v>
      </c>
      <c r="U79">
        <v>198.33</v>
      </c>
      <c r="V79">
        <v>56.52</v>
      </c>
      <c r="W79">
        <v>45.78</v>
      </c>
      <c r="X79">
        <v>108.78</v>
      </c>
      <c r="Y79">
        <v>55.06</v>
      </c>
      <c r="Z79">
        <v>49.67</v>
      </c>
      <c r="AA79">
        <v>60.62</v>
      </c>
      <c r="AB79">
        <v>64.209999999999994</v>
      </c>
      <c r="AC79">
        <v>3.49</v>
      </c>
      <c r="AD79">
        <v>2.65</v>
      </c>
      <c r="AE79">
        <v>-5.73</v>
      </c>
      <c r="AF79">
        <v>148.63</v>
      </c>
      <c r="AG79">
        <v>17.5</v>
      </c>
      <c r="AH79">
        <v>-8.44</v>
      </c>
      <c r="AI79">
        <v>24.12</v>
      </c>
      <c r="AJ79">
        <v>12.62</v>
      </c>
      <c r="AK79">
        <v>23.71</v>
      </c>
      <c r="AL79">
        <v>45.75</v>
      </c>
      <c r="AM79">
        <v>46.87</v>
      </c>
      <c r="AN79">
        <v>18.399999999999999</v>
      </c>
      <c r="AO79">
        <v>0.54</v>
      </c>
      <c r="AP79">
        <f t="shared" si="7"/>
        <v>0.34074074074074073</v>
      </c>
      <c r="AT79">
        <f t="shared" si="10"/>
        <v>190.51</v>
      </c>
      <c r="AU79">
        <f t="shared" si="11"/>
        <v>154.56</v>
      </c>
      <c r="AV79">
        <f t="shared" si="12"/>
        <v>0.43795620437956206</v>
      </c>
    </row>
    <row r="80" spans="1:48" x14ac:dyDescent="0.3">
      <c r="A80" s="1">
        <v>46178</v>
      </c>
      <c r="B80" t="s">
        <v>100</v>
      </c>
      <c r="C80" t="s">
        <v>89</v>
      </c>
      <c r="D80">
        <v>130</v>
      </c>
      <c r="E80">
        <v>151</v>
      </c>
      <c r="F80">
        <v>153</v>
      </c>
      <c r="G80">
        <v>159</v>
      </c>
      <c r="H80">
        <v>127</v>
      </c>
      <c r="I80">
        <v>140</v>
      </c>
      <c r="J80">
        <v>151</v>
      </c>
      <c r="K80">
        <v>153</v>
      </c>
      <c r="L80">
        <v>253</v>
      </c>
      <c r="M80">
        <v>214</v>
      </c>
      <c r="N80">
        <v>244</v>
      </c>
      <c r="O80">
        <v>268</v>
      </c>
      <c r="P80">
        <v>20</v>
      </c>
      <c r="Q80">
        <v>192.11</v>
      </c>
      <c r="R80">
        <v>70.08</v>
      </c>
      <c r="S80">
        <v>65.959999999999994</v>
      </c>
      <c r="T80">
        <v>62.5</v>
      </c>
      <c r="U80">
        <v>151.33000000000001</v>
      </c>
      <c r="V80">
        <v>63.12</v>
      </c>
      <c r="W80">
        <v>58.9</v>
      </c>
      <c r="X80">
        <v>72.3</v>
      </c>
      <c r="Y80">
        <v>21</v>
      </c>
      <c r="Z80">
        <v>20.5</v>
      </c>
      <c r="AA80">
        <v>2.74</v>
      </c>
      <c r="AB80">
        <v>6.01</v>
      </c>
      <c r="AC80">
        <v>5.1100000000000003</v>
      </c>
      <c r="AD80">
        <v>4</v>
      </c>
      <c r="AE80">
        <v>14.8</v>
      </c>
      <c r="AF80">
        <v>10.199999999999999</v>
      </c>
      <c r="AG80">
        <v>19.600000000000001</v>
      </c>
      <c r="AH80">
        <v>17.3</v>
      </c>
      <c r="AI80">
        <v>15.4</v>
      </c>
      <c r="AJ80">
        <v>16.8</v>
      </c>
      <c r="AK80">
        <v>0</v>
      </c>
      <c r="AL80">
        <v>0.63</v>
      </c>
      <c r="AM80">
        <v>0.63</v>
      </c>
      <c r="AN80">
        <v>0</v>
      </c>
      <c r="AO80">
        <v>0.62</v>
      </c>
      <c r="AP80">
        <f t="shared" si="7"/>
        <v>0</v>
      </c>
      <c r="AT80">
        <f t="shared" si="10"/>
        <v>128.45999999999998</v>
      </c>
      <c r="AU80">
        <f t="shared" si="11"/>
        <v>131.19999999999999</v>
      </c>
      <c r="AV80">
        <f t="shared" si="12"/>
        <v>0.59683794466403162</v>
      </c>
    </row>
    <row r="81" spans="1:48" x14ac:dyDescent="0.3">
      <c r="A81" s="1">
        <v>46178</v>
      </c>
      <c r="B81" t="s">
        <v>105</v>
      </c>
      <c r="C81" t="s">
        <v>91</v>
      </c>
      <c r="D81">
        <v>140</v>
      </c>
      <c r="E81">
        <v>163</v>
      </c>
      <c r="F81">
        <v>144</v>
      </c>
      <c r="G81">
        <v>160</v>
      </c>
      <c r="H81">
        <v>141</v>
      </c>
      <c r="I81">
        <v>150</v>
      </c>
      <c r="J81">
        <v>163</v>
      </c>
      <c r="K81">
        <v>148</v>
      </c>
      <c r="L81">
        <v>274</v>
      </c>
      <c r="M81">
        <v>229</v>
      </c>
      <c r="N81">
        <v>276</v>
      </c>
      <c r="O81">
        <v>240</v>
      </c>
      <c r="P81">
        <v>55</v>
      </c>
      <c r="Q81">
        <v>174.29</v>
      </c>
      <c r="R81">
        <v>64.5</v>
      </c>
      <c r="S81">
        <v>63.46</v>
      </c>
      <c r="T81">
        <v>107.64</v>
      </c>
      <c r="U81">
        <v>169.8</v>
      </c>
      <c r="V81">
        <v>39.86</v>
      </c>
      <c r="W81">
        <v>85.33</v>
      </c>
      <c r="X81">
        <v>103.04</v>
      </c>
      <c r="Y81">
        <v>50.62</v>
      </c>
      <c r="Z81">
        <v>42.15</v>
      </c>
      <c r="AA81">
        <v>63.39</v>
      </c>
      <c r="AB81">
        <v>61.23</v>
      </c>
      <c r="AC81">
        <v>8.5</v>
      </c>
      <c r="AD81">
        <v>7.32</v>
      </c>
      <c r="AE81">
        <v>0.28999999999999998</v>
      </c>
      <c r="AF81">
        <v>145.91</v>
      </c>
      <c r="AG81">
        <v>23.41</v>
      </c>
      <c r="AH81">
        <v>1.37</v>
      </c>
      <c r="AI81">
        <v>15.47</v>
      </c>
      <c r="AJ81">
        <v>3.47</v>
      </c>
      <c r="AK81">
        <v>24.3</v>
      </c>
      <c r="AL81">
        <v>43.91</v>
      </c>
      <c r="AM81">
        <v>31.33</v>
      </c>
      <c r="AN81">
        <v>23.61</v>
      </c>
      <c r="AO81">
        <v>0.68</v>
      </c>
      <c r="AP81">
        <f t="shared" si="7"/>
        <v>0.34720588235294114</v>
      </c>
      <c r="AT81">
        <f t="shared" si="10"/>
        <v>171.1</v>
      </c>
      <c r="AU81">
        <f t="shared" si="11"/>
        <v>188.37</v>
      </c>
      <c r="AV81">
        <f t="shared" si="12"/>
        <v>0.59057971014492749</v>
      </c>
    </row>
    <row r="82" spans="1:48" x14ac:dyDescent="0.3">
      <c r="A82" s="1">
        <v>46179</v>
      </c>
      <c r="B82" t="s">
        <v>101</v>
      </c>
      <c r="C82" t="s">
        <v>89</v>
      </c>
      <c r="D82">
        <v>135</v>
      </c>
      <c r="E82">
        <v>105</v>
      </c>
      <c r="F82">
        <v>134</v>
      </c>
      <c r="G82">
        <v>101</v>
      </c>
      <c r="H82">
        <v>234</v>
      </c>
      <c r="I82">
        <v>141</v>
      </c>
      <c r="J82">
        <v>254</v>
      </c>
      <c r="K82">
        <v>122</v>
      </c>
      <c r="L82">
        <v>46</v>
      </c>
      <c r="M82">
        <v>191.33</v>
      </c>
      <c r="N82">
        <v>63.63</v>
      </c>
      <c r="O82">
        <v>101.22</v>
      </c>
      <c r="P82">
        <v>109.76</v>
      </c>
      <c r="Q82">
        <v>149.78</v>
      </c>
      <c r="R82">
        <v>42.43</v>
      </c>
      <c r="S82">
        <v>77.650000000000006</v>
      </c>
      <c r="T82">
        <v>115.43</v>
      </c>
      <c r="U82">
        <v>56.89</v>
      </c>
      <c r="V82">
        <v>54.53</v>
      </c>
      <c r="W82">
        <v>57.5</v>
      </c>
      <c r="X82">
        <v>63.12</v>
      </c>
      <c r="Y82">
        <v>5.15</v>
      </c>
      <c r="Z82">
        <v>3.68</v>
      </c>
      <c r="AA82">
        <v>0.93</v>
      </c>
      <c r="AB82">
        <v>142.65</v>
      </c>
      <c r="AC82">
        <v>28.47</v>
      </c>
      <c r="AD82">
        <v>3.61</v>
      </c>
      <c r="AE82">
        <v>22.6</v>
      </c>
      <c r="AF82">
        <v>-51.04</v>
      </c>
      <c r="AG82">
        <v>29.32</v>
      </c>
      <c r="AH82">
        <v>37.950000000000003</v>
      </c>
      <c r="AI82">
        <v>28.31</v>
      </c>
      <c r="AJ82">
        <v>23.9</v>
      </c>
      <c r="AK82">
        <v>0.81</v>
      </c>
      <c r="AL82">
        <v>0.3</v>
      </c>
      <c r="AM82">
        <v>23.27</v>
      </c>
      <c r="AN82">
        <v>0.92</v>
      </c>
      <c r="AO82">
        <v>0.25</v>
      </c>
      <c r="AP82">
        <f t="shared" si="7"/>
        <v>3.6799999999999999E-2</v>
      </c>
      <c r="AT82">
        <f t="shared" si="10"/>
        <v>193.08</v>
      </c>
      <c r="AU82">
        <f t="shared" si="11"/>
        <v>120.62</v>
      </c>
      <c r="AV82">
        <f t="shared" si="12"/>
        <v>3.9918277542039915</v>
      </c>
    </row>
    <row r="83" spans="1:48" x14ac:dyDescent="0.3">
      <c r="A83" s="1">
        <v>46179</v>
      </c>
      <c r="B83" t="s">
        <v>103</v>
      </c>
      <c r="C83" t="s">
        <v>91</v>
      </c>
      <c r="D83">
        <v>128</v>
      </c>
      <c r="E83">
        <v>131</v>
      </c>
      <c r="F83">
        <v>130</v>
      </c>
      <c r="G83">
        <v>132</v>
      </c>
      <c r="H83">
        <v>161</v>
      </c>
      <c r="I83">
        <v>150</v>
      </c>
      <c r="J83">
        <v>158</v>
      </c>
      <c r="K83">
        <v>155</v>
      </c>
      <c r="L83">
        <v>165</v>
      </c>
      <c r="M83">
        <v>170</v>
      </c>
      <c r="N83">
        <v>168</v>
      </c>
      <c r="O83">
        <v>171</v>
      </c>
      <c r="P83">
        <v>31</v>
      </c>
      <c r="Q83">
        <v>161.79</v>
      </c>
      <c r="R83">
        <v>45.18</v>
      </c>
      <c r="S83">
        <v>59.05</v>
      </c>
      <c r="T83">
        <v>94.54</v>
      </c>
      <c r="U83">
        <v>166.12</v>
      </c>
      <c r="V83">
        <v>47.94</v>
      </c>
      <c r="W83">
        <v>56.1</v>
      </c>
      <c r="X83">
        <v>118.66</v>
      </c>
      <c r="Y83">
        <v>41.37</v>
      </c>
      <c r="Z83">
        <v>36.57</v>
      </c>
      <c r="AA83">
        <v>58.91</v>
      </c>
      <c r="AB83">
        <v>61.43</v>
      </c>
      <c r="AC83">
        <v>2.9</v>
      </c>
      <c r="AD83">
        <v>3</v>
      </c>
      <c r="AE83">
        <v>3.25</v>
      </c>
      <c r="AF83">
        <v>164.24</v>
      </c>
      <c r="AG83">
        <v>30.17</v>
      </c>
      <c r="AH83">
        <v>-4.9800000000000004</v>
      </c>
      <c r="AI83">
        <v>23.54</v>
      </c>
      <c r="AJ83">
        <v>2.0299999999999998</v>
      </c>
      <c r="AK83">
        <v>31.96</v>
      </c>
      <c r="AL83">
        <v>34.36</v>
      </c>
      <c r="AM83">
        <v>32.72</v>
      </c>
      <c r="AN83">
        <v>19.010000000000002</v>
      </c>
      <c r="AO83">
        <v>0.78</v>
      </c>
      <c r="AP83">
        <f t="shared" si="7"/>
        <v>0.24371794871794875</v>
      </c>
      <c r="AT83">
        <f t="shared" si="10"/>
        <v>153.59</v>
      </c>
      <c r="AU83">
        <f t="shared" si="11"/>
        <v>174.76</v>
      </c>
      <c r="AV83">
        <f t="shared" si="12"/>
        <v>0.95833333333333337</v>
      </c>
    </row>
    <row r="84" spans="1:48" x14ac:dyDescent="0.3">
      <c r="A84" s="1">
        <v>46179</v>
      </c>
      <c r="B84" t="s">
        <v>106</v>
      </c>
      <c r="C84" t="s">
        <v>89</v>
      </c>
      <c r="D84">
        <v>185</v>
      </c>
      <c r="E84">
        <v>130</v>
      </c>
      <c r="F84">
        <v>179</v>
      </c>
      <c r="G84">
        <v>121</v>
      </c>
      <c r="H84">
        <v>243</v>
      </c>
      <c r="I84">
        <v>213</v>
      </c>
      <c r="J84">
        <v>202</v>
      </c>
      <c r="K84">
        <v>238</v>
      </c>
      <c r="L84">
        <v>68</v>
      </c>
      <c r="M84">
        <v>177.42</v>
      </c>
      <c r="N84">
        <v>51.25</v>
      </c>
      <c r="O84">
        <v>90.75</v>
      </c>
      <c r="P84">
        <v>113.68</v>
      </c>
      <c r="Q84">
        <v>171.34</v>
      </c>
      <c r="R84">
        <v>50.16</v>
      </c>
      <c r="S84">
        <v>87.59</v>
      </c>
      <c r="T84">
        <v>136.58000000000001</v>
      </c>
      <c r="U84">
        <v>72.34</v>
      </c>
      <c r="V84">
        <v>67.16</v>
      </c>
      <c r="W84">
        <v>71.56</v>
      </c>
      <c r="X84">
        <v>73.14</v>
      </c>
      <c r="Y84">
        <v>2.33</v>
      </c>
      <c r="Z84">
        <v>4.8</v>
      </c>
      <c r="AA84">
        <v>-1.05</v>
      </c>
      <c r="AB84">
        <v>144.99</v>
      </c>
      <c r="AC84">
        <v>37.78</v>
      </c>
      <c r="AD84">
        <v>-10.25</v>
      </c>
      <c r="AE84">
        <v>26.89</v>
      </c>
      <c r="AF84">
        <v>9.48</v>
      </c>
      <c r="AG84">
        <v>25.98</v>
      </c>
      <c r="AH84">
        <v>40.64</v>
      </c>
      <c r="AI84">
        <v>30.88</v>
      </c>
      <c r="AJ84">
        <v>23.34</v>
      </c>
      <c r="AK84">
        <v>0.66</v>
      </c>
      <c r="AL84">
        <v>0.36</v>
      </c>
      <c r="AM84">
        <v>22.27</v>
      </c>
      <c r="AN84">
        <v>0.67</v>
      </c>
      <c r="AO84">
        <v>0.33</v>
      </c>
      <c r="AP84">
        <f t="shared" si="7"/>
        <v>2.0303030303030302E-2</v>
      </c>
      <c r="AT84">
        <f t="shared" si="10"/>
        <v>224.17000000000002</v>
      </c>
      <c r="AU84">
        <f t="shared" si="11"/>
        <v>144.69999999999999</v>
      </c>
      <c r="AV84">
        <f t="shared" si="12"/>
        <v>3.5735294117647061</v>
      </c>
    </row>
    <row r="85" spans="1:48" x14ac:dyDescent="0.3">
      <c r="A85" s="1">
        <v>46180</v>
      </c>
      <c r="B85" t="s">
        <v>105</v>
      </c>
      <c r="C85" t="s">
        <v>90</v>
      </c>
      <c r="D85">
        <v>150</v>
      </c>
      <c r="E85">
        <v>163</v>
      </c>
      <c r="F85">
        <v>144</v>
      </c>
      <c r="G85">
        <v>160</v>
      </c>
      <c r="H85">
        <v>141</v>
      </c>
      <c r="I85">
        <v>155</v>
      </c>
      <c r="J85">
        <v>165</v>
      </c>
      <c r="K85">
        <v>160</v>
      </c>
      <c r="L85">
        <v>274</v>
      </c>
      <c r="M85">
        <v>229</v>
      </c>
      <c r="N85">
        <v>276</v>
      </c>
      <c r="O85">
        <v>240</v>
      </c>
      <c r="P85">
        <v>57</v>
      </c>
      <c r="Q85">
        <v>179.24</v>
      </c>
      <c r="R85">
        <v>60.22</v>
      </c>
      <c r="S85">
        <v>71.7</v>
      </c>
      <c r="T85">
        <v>102.46</v>
      </c>
      <c r="U85">
        <v>178.69</v>
      </c>
      <c r="V85">
        <v>49.78</v>
      </c>
      <c r="W85">
        <v>54.41</v>
      </c>
      <c r="X85">
        <v>106.66</v>
      </c>
      <c r="Y85">
        <v>64.739999999999995</v>
      </c>
      <c r="Z85">
        <v>63.91</v>
      </c>
      <c r="AA85">
        <v>8.59</v>
      </c>
      <c r="AB85">
        <v>3.54</v>
      </c>
      <c r="AC85">
        <v>0</v>
      </c>
      <c r="AD85">
        <v>0</v>
      </c>
      <c r="AE85">
        <v>10.199999999999999</v>
      </c>
      <c r="AF85">
        <v>6.3</v>
      </c>
      <c r="AG85">
        <v>18.399999999999999</v>
      </c>
      <c r="AH85">
        <v>16.7</v>
      </c>
      <c r="AI85">
        <v>21.8</v>
      </c>
      <c r="AJ85">
        <v>22.5</v>
      </c>
      <c r="AK85">
        <v>174.16</v>
      </c>
      <c r="AL85">
        <v>35.1</v>
      </c>
      <c r="AM85">
        <v>0.59</v>
      </c>
      <c r="AP85" t="str">
        <f t="shared" si="7"/>
        <v/>
      </c>
      <c r="AT85">
        <f t="shared" si="10"/>
        <v>174.16</v>
      </c>
      <c r="AU85">
        <f t="shared" si="11"/>
        <v>161.07</v>
      </c>
      <c r="AV85">
        <f t="shared" si="12"/>
        <v>0.59782608695652173</v>
      </c>
    </row>
    <row r="86" spans="1:48" x14ac:dyDescent="0.3">
      <c r="A86" s="1">
        <v>46180</v>
      </c>
      <c r="B86" t="s">
        <v>102</v>
      </c>
      <c r="C86" t="s">
        <v>89</v>
      </c>
      <c r="D86">
        <v>146</v>
      </c>
      <c r="E86">
        <v>130</v>
      </c>
      <c r="F86">
        <v>147</v>
      </c>
      <c r="G86">
        <v>133</v>
      </c>
      <c r="H86">
        <v>231</v>
      </c>
      <c r="I86">
        <v>243</v>
      </c>
      <c r="J86">
        <v>220</v>
      </c>
      <c r="K86">
        <v>253</v>
      </c>
      <c r="L86">
        <v>34</v>
      </c>
      <c r="M86">
        <v>175.93</v>
      </c>
      <c r="N86">
        <v>61.71</v>
      </c>
      <c r="O86">
        <v>77.22</v>
      </c>
      <c r="P86">
        <v>68.73</v>
      </c>
      <c r="Q86">
        <v>166.61</v>
      </c>
      <c r="R86">
        <v>68.83</v>
      </c>
      <c r="S86">
        <v>89.93</v>
      </c>
      <c r="T86">
        <v>90.47</v>
      </c>
      <c r="U86">
        <v>64.66</v>
      </c>
      <c r="V86">
        <v>55.97</v>
      </c>
      <c r="W86">
        <v>70.84</v>
      </c>
      <c r="X86">
        <v>64.3</v>
      </c>
      <c r="Y86">
        <v>5.78</v>
      </c>
      <c r="Z86">
        <v>4.84</v>
      </c>
      <c r="AA86">
        <v>-14.34</v>
      </c>
      <c r="AB86">
        <v>169.76</v>
      </c>
      <c r="AC86">
        <v>36.770000000000003</v>
      </c>
      <c r="AD86">
        <v>-8.4499999999999993</v>
      </c>
      <c r="AE86">
        <v>18.54</v>
      </c>
      <c r="AF86">
        <v>2.23</v>
      </c>
      <c r="AG86">
        <v>30.7</v>
      </c>
      <c r="AH86">
        <v>44.17</v>
      </c>
      <c r="AI86">
        <v>53.08</v>
      </c>
      <c r="AJ86">
        <v>20.97</v>
      </c>
      <c r="AK86">
        <v>0.68</v>
      </c>
      <c r="AL86">
        <v>0.31</v>
      </c>
      <c r="AM86">
        <v>22.16</v>
      </c>
      <c r="AN86">
        <v>0.73</v>
      </c>
      <c r="AO86">
        <v>0.31</v>
      </c>
      <c r="AP86">
        <f t="shared" ref="AP86:AP87" si="13">IFERROR((AN86/100)/AO86,"")</f>
        <v>2.3548387096774193E-2</v>
      </c>
      <c r="AT86">
        <f t="shared" si="10"/>
        <v>180.4</v>
      </c>
      <c r="AU86">
        <f t="shared" si="11"/>
        <v>135.13999999999999</v>
      </c>
      <c r="AV86">
        <f t="shared" si="12"/>
        <v>3.7433155080213902</v>
      </c>
    </row>
    <row r="87" spans="1:48" x14ac:dyDescent="0.3">
      <c r="A87" s="1">
        <v>46181</v>
      </c>
      <c r="B87" t="s">
        <v>110</v>
      </c>
      <c r="C87" t="s">
        <v>89</v>
      </c>
      <c r="D87">
        <v>141</v>
      </c>
      <c r="E87">
        <v>146</v>
      </c>
      <c r="F87">
        <v>132</v>
      </c>
      <c r="G87">
        <v>138</v>
      </c>
      <c r="H87">
        <v>247</v>
      </c>
      <c r="I87">
        <v>200</v>
      </c>
      <c r="J87">
        <v>232</v>
      </c>
      <c r="K87">
        <v>221</v>
      </c>
      <c r="L87">
        <v>38</v>
      </c>
      <c r="M87">
        <v>207.38</v>
      </c>
      <c r="N87">
        <v>93.19</v>
      </c>
      <c r="O87">
        <v>112.89</v>
      </c>
      <c r="P87">
        <v>115.63</v>
      </c>
      <c r="Q87">
        <v>186.19</v>
      </c>
      <c r="R87">
        <v>104.24</v>
      </c>
      <c r="S87">
        <v>105.69</v>
      </c>
      <c r="T87">
        <v>122.29</v>
      </c>
      <c r="U87">
        <v>71.849999999999994</v>
      </c>
      <c r="V87">
        <v>72.84</v>
      </c>
      <c r="W87">
        <v>3.27</v>
      </c>
      <c r="X87">
        <v>3.03</v>
      </c>
      <c r="Y87">
        <v>0</v>
      </c>
      <c r="Z87">
        <v>0</v>
      </c>
      <c r="AA87">
        <v>14</v>
      </c>
      <c r="AB87">
        <v>8.8000000000000007</v>
      </c>
      <c r="AC87">
        <v>27.5</v>
      </c>
      <c r="AD87">
        <v>25.1</v>
      </c>
      <c r="AE87">
        <v>22</v>
      </c>
      <c r="AF87">
        <v>21.5</v>
      </c>
      <c r="AG87">
        <v>228.52</v>
      </c>
      <c r="AH87">
        <v>227.98</v>
      </c>
      <c r="AI87">
        <v>0.56999999999999995</v>
      </c>
      <c r="AP87" t="str">
        <f t="shared" si="13"/>
        <v/>
      </c>
      <c r="AT87">
        <f t="shared" si="10"/>
        <v>227.98000000000002</v>
      </c>
      <c r="AU87">
        <f t="shared" si="11"/>
        <v>6.3</v>
      </c>
      <c r="AV87">
        <f t="shared" si="12"/>
        <v>2.6504989805773151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25F6-ECAC-4185-8971-4B800D0E9714}">
  <dimension ref="A1:G63"/>
  <sheetViews>
    <sheetView workbookViewId="0">
      <pane xSplit="2" ySplit="1" topLeftCell="C42" activePane="bottomRight" state="frozen"/>
      <selection pane="topRight" activeCell="C1" sqref="C1"/>
      <selection pane="bottomLeft" activeCell="A2" sqref="A2"/>
      <selection pane="bottomRight" activeCell="H59" sqref="H59"/>
    </sheetView>
  </sheetViews>
  <sheetFormatPr defaultRowHeight="14.4" x14ac:dyDescent="0.3"/>
  <cols>
    <col min="1" max="1" width="9.33203125" style="1" bestFit="1" customWidth="1"/>
    <col min="2" max="2" width="9.33203125" bestFit="1" customWidth="1"/>
    <col min="3" max="4" width="8.88671875" style="2"/>
    <col min="5" max="5" width="8.88671875" style="2" customWidth="1"/>
  </cols>
  <sheetData>
    <row r="1" spans="1:7" x14ac:dyDescent="0.3">
      <c r="A1" s="1" t="s">
        <v>0</v>
      </c>
      <c r="B1" t="s">
        <v>1</v>
      </c>
      <c r="C1" s="2" t="s">
        <v>54</v>
      </c>
      <c r="D1" s="2" t="s">
        <v>55</v>
      </c>
      <c r="E1" s="2" t="s">
        <v>56</v>
      </c>
      <c r="F1" s="2" t="s">
        <v>93</v>
      </c>
      <c r="G1" s="2" t="s">
        <v>94</v>
      </c>
    </row>
    <row r="2" spans="1:7" x14ac:dyDescent="0.3">
      <c r="A2" s="1">
        <v>46177</v>
      </c>
      <c r="B2" t="s">
        <v>105</v>
      </c>
      <c r="C2">
        <v>87.4</v>
      </c>
      <c r="D2">
        <v>89.5</v>
      </c>
      <c r="E2">
        <f>IF(SQRT((F2^2) + (G2^2))=0, " ", SQRT((F2^2) + (G2^2)))</f>
        <v>22.817756243767704</v>
      </c>
      <c r="F2">
        <v>20.100000000000001</v>
      </c>
      <c r="G2">
        <v>10.8</v>
      </c>
    </row>
    <row r="3" spans="1:7" x14ac:dyDescent="0.3">
      <c r="A3" s="1">
        <v>46177</v>
      </c>
      <c r="B3" t="s">
        <v>107</v>
      </c>
      <c r="C3">
        <v>86.8</v>
      </c>
      <c r="D3">
        <v>88.7</v>
      </c>
      <c r="E3">
        <f t="shared" ref="E3:E17" si="0">IF(SQRT((F3^2) + (G3^2))=0, " ", SQRT((F3^2) + (G3^2)))</f>
        <v>20.014244927051333</v>
      </c>
      <c r="F3">
        <v>17.100000000000001</v>
      </c>
      <c r="G3">
        <v>10.4</v>
      </c>
    </row>
    <row r="4" spans="1:7" x14ac:dyDescent="0.3">
      <c r="A4" s="1">
        <v>46177</v>
      </c>
      <c r="B4" t="s">
        <v>100</v>
      </c>
      <c r="C4">
        <v>88</v>
      </c>
      <c r="D4">
        <v>89.4</v>
      </c>
      <c r="E4">
        <f t="shared" si="0"/>
        <v>17.256882684888367</v>
      </c>
      <c r="F4">
        <v>14.6</v>
      </c>
      <c r="G4">
        <v>9.1999999999999993</v>
      </c>
    </row>
    <row r="5" spans="1:7" x14ac:dyDescent="0.3">
      <c r="A5" s="1">
        <v>46178</v>
      </c>
      <c r="B5" t="s">
        <v>103</v>
      </c>
      <c r="C5">
        <v>89.6</v>
      </c>
      <c r="D5">
        <v>91.5</v>
      </c>
      <c r="E5">
        <f t="shared" si="0"/>
        <v>20.529247428973132</v>
      </c>
      <c r="F5">
        <v>17.7</v>
      </c>
      <c r="G5">
        <v>10.4</v>
      </c>
    </row>
    <row r="6" spans="1:7" x14ac:dyDescent="0.3">
      <c r="A6" s="1">
        <v>46178</v>
      </c>
      <c r="B6" t="s">
        <v>101</v>
      </c>
      <c r="C6">
        <v>90.4</v>
      </c>
      <c r="D6">
        <v>94.7</v>
      </c>
      <c r="E6">
        <f t="shared" si="0"/>
        <v>21.168136431911055</v>
      </c>
      <c r="F6">
        <v>20.3</v>
      </c>
      <c r="G6">
        <v>6</v>
      </c>
    </row>
    <row r="7" spans="1:7" x14ac:dyDescent="0.3">
      <c r="A7" s="1">
        <v>46178</v>
      </c>
      <c r="B7" t="s">
        <v>106</v>
      </c>
      <c r="C7">
        <v>97.4</v>
      </c>
      <c r="D7">
        <v>90.5</v>
      </c>
      <c r="E7">
        <f t="shared" si="0"/>
        <v>21.669563908856126</v>
      </c>
      <c r="F7">
        <v>18.899999999999999</v>
      </c>
      <c r="G7">
        <v>10.6</v>
      </c>
    </row>
    <row r="8" spans="1:7" x14ac:dyDescent="0.3">
      <c r="A8" s="1">
        <v>46179</v>
      </c>
      <c r="B8" t="s">
        <v>102</v>
      </c>
      <c r="C8">
        <v>87.3</v>
      </c>
      <c r="D8">
        <v>87.3</v>
      </c>
      <c r="E8">
        <f t="shared" si="0"/>
        <v>20.319940944796073</v>
      </c>
      <c r="F8">
        <v>15.7</v>
      </c>
      <c r="G8">
        <v>12.9</v>
      </c>
    </row>
    <row r="9" spans="1:7" x14ac:dyDescent="0.3">
      <c r="A9" s="1">
        <v>46179</v>
      </c>
      <c r="B9" t="s">
        <v>110</v>
      </c>
      <c r="C9">
        <v>91.5</v>
      </c>
      <c r="D9">
        <v>94.1</v>
      </c>
      <c r="E9">
        <f t="shared" si="0"/>
        <v>15.741982086128798</v>
      </c>
      <c r="F9">
        <v>14.1</v>
      </c>
      <c r="G9">
        <v>7</v>
      </c>
    </row>
    <row r="10" spans="1:7" x14ac:dyDescent="0.3">
      <c r="A10" s="1">
        <v>46181</v>
      </c>
      <c r="B10" t="s">
        <v>105</v>
      </c>
      <c r="C10">
        <v>87.4</v>
      </c>
      <c r="D10">
        <v>89.5</v>
      </c>
      <c r="E10">
        <f t="shared" si="0"/>
        <v>22.817756243767704</v>
      </c>
      <c r="F10">
        <v>20.100000000000001</v>
      </c>
      <c r="G10">
        <v>10.8</v>
      </c>
    </row>
    <row r="11" spans="1:7" x14ac:dyDescent="0.3">
      <c r="A11" s="1">
        <v>46181</v>
      </c>
      <c r="B11" t="s">
        <v>99</v>
      </c>
      <c r="C11">
        <v>90.4</v>
      </c>
      <c r="D11">
        <v>94.7</v>
      </c>
      <c r="E11">
        <f t="shared" ref="E11" si="1">IF(SQRT((F11^2) + (G11^2))=0, " ", SQRT((F11^2) + (G11^2)))</f>
        <v>21.168136431911055</v>
      </c>
      <c r="F11">
        <v>20.3</v>
      </c>
      <c r="G11">
        <v>6</v>
      </c>
    </row>
    <row r="12" spans="1:7" x14ac:dyDescent="0.3">
      <c r="A12" s="1">
        <v>46181</v>
      </c>
      <c r="B12" t="s">
        <v>107</v>
      </c>
      <c r="C12">
        <v>86.8</v>
      </c>
      <c r="D12">
        <v>88.7</v>
      </c>
      <c r="E12">
        <f t="shared" si="0"/>
        <v>20.014244927051333</v>
      </c>
      <c r="F12">
        <v>17.100000000000001</v>
      </c>
      <c r="G12">
        <v>10.4</v>
      </c>
    </row>
    <row r="13" spans="1:7" x14ac:dyDescent="0.3">
      <c r="A13" s="1">
        <v>46182</v>
      </c>
      <c r="B13" t="s">
        <v>100</v>
      </c>
      <c r="C13">
        <v>88</v>
      </c>
      <c r="D13">
        <v>89.4</v>
      </c>
      <c r="E13">
        <f t="shared" si="0"/>
        <v>17.256882684888367</v>
      </c>
      <c r="F13">
        <v>14.6</v>
      </c>
      <c r="G13">
        <v>9.1999999999999993</v>
      </c>
    </row>
    <row r="14" spans="1:7" x14ac:dyDescent="0.3">
      <c r="A14" s="1">
        <v>46182</v>
      </c>
      <c r="B14" t="s">
        <v>106</v>
      </c>
      <c r="C14">
        <v>97.4</v>
      </c>
      <c r="D14">
        <v>90.5</v>
      </c>
      <c r="E14">
        <f t="shared" si="0"/>
        <v>21.669563908856126</v>
      </c>
      <c r="F14">
        <v>18.899999999999999</v>
      </c>
      <c r="G14">
        <v>10.6</v>
      </c>
    </row>
    <row r="15" spans="1:7" x14ac:dyDescent="0.3">
      <c r="A15" s="1">
        <v>46182</v>
      </c>
      <c r="B15" t="s">
        <v>101</v>
      </c>
      <c r="C15">
        <v>90.4</v>
      </c>
      <c r="D15">
        <v>94.7</v>
      </c>
      <c r="E15">
        <f t="shared" si="0"/>
        <v>21.168136431911055</v>
      </c>
      <c r="F15">
        <v>20.3</v>
      </c>
      <c r="G15">
        <v>6</v>
      </c>
    </row>
    <row r="16" spans="1:7" x14ac:dyDescent="0.3">
      <c r="A16" s="1">
        <v>46184</v>
      </c>
      <c r="B16" t="s">
        <v>103</v>
      </c>
      <c r="C16">
        <v>89.6</v>
      </c>
      <c r="D16">
        <v>91.5</v>
      </c>
      <c r="E16">
        <f t="shared" si="0"/>
        <v>20.529247428973132</v>
      </c>
      <c r="F16">
        <v>17.7</v>
      </c>
      <c r="G16">
        <v>10.4</v>
      </c>
    </row>
    <row r="17" spans="1:7" x14ac:dyDescent="0.3">
      <c r="A17" s="1">
        <v>46184</v>
      </c>
      <c r="B17" t="s">
        <v>102</v>
      </c>
      <c r="C17">
        <v>87.3</v>
      </c>
      <c r="D17">
        <v>87.3</v>
      </c>
      <c r="E17">
        <f t="shared" si="0"/>
        <v>20.319940944796073</v>
      </c>
      <c r="F17">
        <v>15.7</v>
      </c>
      <c r="G17">
        <v>12.9</v>
      </c>
    </row>
    <row r="18" spans="1:7" x14ac:dyDescent="0.3">
      <c r="A18" s="1">
        <v>46184</v>
      </c>
      <c r="B18" t="s">
        <v>104</v>
      </c>
      <c r="C18">
        <v>87.8</v>
      </c>
      <c r="D18">
        <v>89.9</v>
      </c>
      <c r="E18">
        <v>21.94218</v>
      </c>
      <c r="F18">
        <v>19.600000000000001</v>
      </c>
      <c r="G18">
        <v>10.5</v>
      </c>
    </row>
    <row r="19" spans="1:7" x14ac:dyDescent="0.3">
      <c r="A19" s="1">
        <v>46184</v>
      </c>
      <c r="B19" t="s">
        <v>110</v>
      </c>
      <c r="C19">
        <v>86.9</v>
      </c>
      <c r="D19">
        <v>88.9</v>
      </c>
      <c r="E19">
        <v>20.418520000000001</v>
      </c>
      <c r="F19">
        <v>17.399999999999999</v>
      </c>
      <c r="G19">
        <v>10.199999999999999</v>
      </c>
    </row>
    <row r="20" spans="1:7" x14ac:dyDescent="0.3">
      <c r="A20" s="1">
        <v>46184</v>
      </c>
      <c r="B20" t="s">
        <v>111</v>
      </c>
      <c r="C20">
        <v>88.3</v>
      </c>
      <c r="D20">
        <v>89.8</v>
      </c>
      <c r="E20">
        <v>17.835609999999999</v>
      </c>
      <c r="F20">
        <v>15.1</v>
      </c>
      <c r="G20">
        <v>9.4</v>
      </c>
    </row>
    <row r="21" spans="1:7" x14ac:dyDescent="0.3">
      <c r="A21" s="1">
        <v>46185</v>
      </c>
      <c r="B21" t="s">
        <v>111</v>
      </c>
      <c r="C21">
        <v>89.2</v>
      </c>
      <c r="D21">
        <v>91.2</v>
      </c>
      <c r="E21">
        <v>20.74109</v>
      </c>
      <c r="F21">
        <v>17.899999999999999</v>
      </c>
      <c r="G21">
        <v>10.1</v>
      </c>
    </row>
    <row r="22" spans="1:7" x14ac:dyDescent="0.3">
      <c r="A22" s="1">
        <v>46185</v>
      </c>
      <c r="B22" t="s">
        <v>109</v>
      </c>
      <c r="C22">
        <v>90.1</v>
      </c>
      <c r="D22">
        <v>94.4</v>
      </c>
      <c r="E22">
        <v>21.382670000000001</v>
      </c>
      <c r="F22">
        <v>20</v>
      </c>
      <c r="G22">
        <v>6.2</v>
      </c>
    </row>
    <row r="23" spans="1:7" x14ac:dyDescent="0.3">
      <c r="A23" s="1">
        <v>46186</v>
      </c>
      <c r="B23" t="s">
        <v>99</v>
      </c>
      <c r="C23">
        <v>96.8</v>
      </c>
      <c r="D23">
        <v>90.8</v>
      </c>
      <c r="E23">
        <v>21.50433</v>
      </c>
      <c r="F23">
        <v>18.7</v>
      </c>
      <c r="G23">
        <v>10.4</v>
      </c>
    </row>
    <row r="24" spans="1:7" x14ac:dyDescent="0.3">
      <c r="A24" s="1">
        <v>46186</v>
      </c>
      <c r="B24" t="s">
        <v>106</v>
      </c>
      <c r="C24">
        <v>87.1</v>
      </c>
      <c r="D24">
        <v>87</v>
      </c>
      <c r="E24">
        <v>20.126539999999999</v>
      </c>
      <c r="F24">
        <v>15.9</v>
      </c>
      <c r="G24">
        <v>12.7</v>
      </c>
    </row>
    <row r="25" spans="1:7" x14ac:dyDescent="0.3">
      <c r="A25" s="1">
        <v>46186</v>
      </c>
      <c r="B25" t="s">
        <v>110</v>
      </c>
      <c r="C25">
        <v>91.2</v>
      </c>
      <c r="D25">
        <v>93.8</v>
      </c>
      <c r="E25">
        <v>15.96421</v>
      </c>
      <c r="F25">
        <v>14.3</v>
      </c>
      <c r="G25">
        <v>7.2</v>
      </c>
    </row>
    <row r="26" spans="1:7" x14ac:dyDescent="0.3">
      <c r="A26" s="1">
        <v>46187</v>
      </c>
      <c r="B26" t="s">
        <v>105</v>
      </c>
      <c r="C26">
        <v>87.6</v>
      </c>
      <c r="D26">
        <v>89.7</v>
      </c>
      <c r="E26">
        <v>22.604849999999999</v>
      </c>
      <c r="F26">
        <v>19.8</v>
      </c>
      <c r="G26">
        <v>10.6</v>
      </c>
    </row>
    <row r="27" spans="1:7" x14ac:dyDescent="0.3">
      <c r="A27" s="1">
        <v>46187</v>
      </c>
      <c r="B27" t="s">
        <v>107</v>
      </c>
      <c r="C27">
        <v>86.5</v>
      </c>
      <c r="D27">
        <v>88.4</v>
      </c>
      <c r="E27">
        <v>19.82217</v>
      </c>
      <c r="F27">
        <v>17</v>
      </c>
      <c r="G27">
        <v>10.3</v>
      </c>
    </row>
    <row r="28" spans="1:7" x14ac:dyDescent="0.3">
      <c r="A28" s="1">
        <v>46187</v>
      </c>
      <c r="B28" t="s">
        <v>101</v>
      </c>
      <c r="C28">
        <v>88.1</v>
      </c>
      <c r="D28">
        <v>89.2</v>
      </c>
      <c r="E28">
        <v>17.498360000000002</v>
      </c>
      <c r="F28">
        <v>14.8</v>
      </c>
      <c r="G28">
        <v>9.1</v>
      </c>
    </row>
    <row r="29" spans="1:7" x14ac:dyDescent="0.3">
      <c r="A29" s="1">
        <v>46187</v>
      </c>
      <c r="B29" t="s">
        <v>104</v>
      </c>
      <c r="C29">
        <v>97.1</v>
      </c>
      <c r="D29">
        <v>90.2</v>
      </c>
      <c r="E29">
        <v>21.78154</v>
      </c>
      <c r="F29">
        <v>18.8</v>
      </c>
      <c r="G29">
        <v>10.7</v>
      </c>
    </row>
    <row r="30" spans="1:7" x14ac:dyDescent="0.3">
      <c r="A30" s="1">
        <v>46189</v>
      </c>
      <c r="B30" t="s">
        <v>100</v>
      </c>
      <c r="C30">
        <v>90</v>
      </c>
      <c r="D30">
        <v>94.5</v>
      </c>
      <c r="E30">
        <v>21.09328</v>
      </c>
      <c r="F30">
        <v>20.2</v>
      </c>
      <c r="G30">
        <v>6.1</v>
      </c>
    </row>
    <row r="31" spans="1:7" x14ac:dyDescent="0.3">
      <c r="A31" s="1">
        <v>46189</v>
      </c>
      <c r="B31" t="s">
        <v>102</v>
      </c>
      <c r="C31">
        <v>89.4</v>
      </c>
      <c r="D31">
        <v>91.3</v>
      </c>
      <c r="E31">
        <v>20.674589999999998</v>
      </c>
      <c r="F31">
        <v>17.600000000000001</v>
      </c>
      <c r="G31">
        <v>10.5</v>
      </c>
    </row>
    <row r="32" spans="1:7" x14ac:dyDescent="0.3">
      <c r="A32" s="1">
        <v>46189</v>
      </c>
      <c r="B32" t="s">
        <v>104</v>
      </c>
      <c r="C32">
        <v>87</v>
      </c>
      <c r="D32">
        <v>87.1</v>
      </c>
      <c r="E32">
        <v>20.451280000000001</v>
      </c>
      <c r="F32">
        <v>15.6</v>
      </c>
      <c r="G32">
        <v>13</v>
      </c>
    </row>
    <row r="33" spans="1:7" x14ac:dyDescent="0.3">
      <c r="A33" s="1">
        <v>46189</v>
      </c>
      <c r="B33" t="s">
        <v>108</v>
      </c>
      <c r="C33">
        <v>87.4</v>
      </c>
      <c r="D33">
        <v>89.5</v>
      </c>
      <c r="E33">
        <f>IF(SQRT((F33^2) + (G33^2))=0, " ", SQRT((F33^2) + (G33^2)))</f>
        <v>22.817756243767704</v>
      </c>
      <c r="F33">
        <v>20.100000000000001</v>
      </c>
      <c r="G33">
        <v>10.8</v>
      </c>
    </row>
    <row r="34" spans="1:7" x14ac:dyDescent="0.3">
      <c r="A34" s="1">
        <v>46190</v>
      </c>
      <c r="B34" t="s">
        <v>109</v>
      </c>
      <c r="C34">
        <v>86.8</v>
      </c>
      <c r="D34">
        <v>88.7</v>
      </c>
      <c r="E34">
        <f t="shared" ref="E34:E48" si="2">IF(SQRT((F34^2) + (G34^2))=0, " ", SQRT((F34^2) + (G34^2)))</f>
        <v>20.014244927051333</v>
      </c>
      <c r="F34">
        <v>17.100000000000001</v>
      </c>
      <c r="G34">
        <v>10.4</v>
      </c>
    </row>
    <row r="35" spans="1:7" x14ac:dyDescent="0.3">
      <c r="A35" s="1">
        <v>46190</v>
      </c>
      <c r="B35" t="s">
        <v>106</v>
      </c>
      <c r="C35">
        <v>88</v>
      </c>
      <c r="D35">
        <v>89.4</v>
      </c>
      <c r="E35">
        <f t="shared" si="2"/>
        <v>17.256882684888367</v>
      </c>
      <c r="F35">
        <v>14.6</v>
      </c>
      <c r="G35">
        <v>9.1999999999999993</v>
      </c>
    </row>
    <row r="36" spans="1:7" x14ac:dyDescent="0.3">
      <c r="A36" s="1">
        <v>46192</v>
      </c>
      <c r="B36" s="1" t="s">
        <v>103</v>
      </c>
      <c r="C36">
        <v>89.6</v>
      </c>
      <c r="D36">
        <v>91.5</v>
      </c>
      <c r="E36">
        <f t="shared" si="2"/>
        <v>20.529247428973132</v>
      </c>
      <c r="F36">
        <v>17.7</v>
      </c>
      <c r="G36">
        <v>10.4</v>
      </c>
    </row>
    <row r="37" spans="1:7" x14ac:dyDescent="0.3">
      <c r="A37" s="1">
        <v>46192</v>
      </c>
      <c r="B37" t="s">
        <v>107</v>
      </c>
      <c r="C37">
        <v>90.4</v>
      </c>
      <c r="D37">
        <v>94.7</v>
      </c>
      <c r="E37">
        <f t="shared" si="2"/>
        <v>21.168136431911055</v>
      </c>
      <c r="F37">
        <v>20.3</v>
      </c>
      <c r="G37">
        <v>6</v>
      </c>
    </row>
    <row r="38" spans="1:7" x14ac:dyDescent="0.3">
      <c r="A38" s="1">
        <v>46192</v>
      </c>
      <c r="B38" t="s">
        <v>110</v>
      </c>
      <c r="C38">
        <v>97.4</v>
      </c>
      <c r="D38">
        <v>90.5</v>
      </c>
      <c r="E38">
        <f t="shared" si="2"/>
        <v>21.669563908856126</v>
      </c>
      <c r="F38">
        <v>18.899999999999999</v>
      </c>
      <c r="G38">
        <v>10.6</v>
      </c>
    </row>
    <row r="39" spans="1:7" x14ac:dyDescent="0.3">
      <c r="A39" s="1">
        <v>46192</v>
      </c>
      <c r="B39" t="s">
        <v>111</v>
      </c>
      <c r="C39">
        <v>87.3</v>
      </c>
      <c r="D39">
        <v>87.3</v>
      </c>
      <c r="E39">
        <f t="shared" si="2"/>
        <v>20.319940944796073</v>
      </c>
      <c r="F39">
        <v>15.7</v>
      </c>
      <c r="G39">
        <v>12.9</v>
      </c>
    </row>
    <row r="40" spans="1:7" x14ac:dyDescent="0.3">
      <c r="A40" s="1">
        <v>46193</v>
      </c>
      <c r="B40" t="s">
        <v>99</v>
      </c>
      <c r="C40">
        <v>91.5</v>
      </c>
      <c r="D40">
        <v>94.1</v>
      </c>
      <c r="E40">
        <f t="shared" si="2"/>
        <v>15.741982086128798</v>
      </c>
      <c r="F40">
        <v>14.1</v>
      </c>
      <c r="G40">
        <v>7</v>
      </c>
    </row>
    <row r="41" spans="1:7" x14ac:dyDescent="0.3">
      <c r="A41" s="1">
        <v>46193</v>
      </c>
      <c r="B41" s="2" t="s">
        <v>111</v>
      </c>
      <c r="C41">
        <v>87.4</v>
      </c>
      <c r="D41">
        <v>89.5</v>
      </c>
      <c r="E41">
        <f t="shared" si="2"/>
        <v>22.817756243767704</v>
      </c>
      <c r="F41">
        <v>20.100000000000001</v>
      </c>
      <c r="G41">
        <v>10.8</v>
      </c>
    </row>
    <row r="42" spans="1:7" x14ac:dyDescent="0.3">
      <c r="A42" s="1">
        <v>46193</v>
      </c>
      <c r="B42" s="2" t="s">
        <v>108</v>
      </c>
      <c r="C42">
        <v>90.4</v>
      </c>
      <c r="D42">
        <v>94.7</v>
      </c>
      <c r="E42">
        <f t="shared" si="2"/>
        <v>21.168136431911055</v>
      </c>
      <c r="F42">
        <v>20.3</v>
      </c>
      <c r="G42">
        <v>6</v>
      </c>
    </row>
    <row r="43" spans="1:7" x14ac:dyDescent="0.3">
      <c r="A43" s="1">
        <v>46193</v>
      </c>
      <c r="B43" s="2" t="s">
        <v>101</v>
      </c>
      <c r="C43">
        <v>86.8</v>
      </c>
      <c r="D43">
        <v>88.7</v>
      </c>
      <c r="E43">
        <f t="shared" si="2"/>
        <v>20.014244927051333</v>
      </c>
      <c r="F43">
        <v>17.100000000000001</v>
      </c>
      <c r="G43">
        <v>10.4</v>
      </c>
    </row>
    <row r="44" spans="1:7" x14ac:dyDescent="0.3">
      <c r="A44" s="1">
        <v>46194</v>
      </c>
      <c r="B44" t="s">
        <v>105</v>
      </c>
      <c r="C44">
        <v>88</v>
      </c>
      <c r="D44">
        <v>89.4</v>
      </c>
      <c r="E44">
        <f t="shared" si="2"/>
        <v>17.256882684888367</v>
      </c>
      <c r="F44">
        <v>14.6</v>
      </c>
      <c r="G44">
        <v>9.1999999999999993</v>
      </c>
    </row>
    <row r="45" spans="1:7" x14ac:dyDescent="0.3">
      <c r="A45" s="1">
        <v>46194</v>
      </c>
      <c r="B45" s="2" t="s">
        <v>102</v>
      </c>
      <c r="C45">
        <v>97.4</v>
      </c>
      <c r="D45">
        <v>90.5</v>
      </c>
      <c r="E45">
        <f t="shared" si="2"/>
        <v>21.669563908856126</v>
      </c>
      <c r="F45">
        <v>18.899999999999999</v>
      </c>
      <c r="G45">
        <v>10.6</v>
      </c>
    </row>
    <row r="46" spans="1:7" x14ac:dyDescent="0.3">
      <c r="A46" s="1">
        <v>46194</v>
      </c>
      <c r="B46" s="2" t="s">
        <v>106</v>
      </c>
      <c r="C46">
        <v>90.4</v>
      </c>
      <c r="D46">
        <v>94.7</v>
      </c>
      <c r="E46">
        <f t="shared" si="2"/>
        <v>21.168136431911055</v>
      </c>
      <c r="F46">
        <v>20.3</v>
      </c>
      <c r="G46">
        <v>6</v>
      </c>
    </row>
    <row r="47" spans="1:7" x14ac:dyDescent="0.3">
      <c r="A47" s="1">
        <v>46194</v>
      </c>
      <c r="B47" s="2" t="s">
        <v>104</v>
      </c>
      <c r="C47">
        <v>89.6</v>
      </c>
      <c r="D47">
        <v>91.5</v>
      </c>
      <c r="E47">
        <f t="shared" si="2"/>
        <v>20.529247428973132</v>
      </c>
      <c r="F47">
        <v>17.7</v>
      </c>
      <c r="G47">
        <v>10.4</v>
      </c>
    </row>
    <row r="48" spans="1:7" x14ac:dyDescent="0.3">
      <c r="A48" s="1">
        <v>46196</v>
      </c>
      <c r="B48" t="s">
        <v>100</v>
      </c>
      <c r="C48">
        <v>87.3</v>
      </c>
      <c r="D48">
        <v>87.3</v>
      </c>
      <c r="E48">
        <f t="shared" si="2"/>
        <v>20.319940944796073</v>
      </c>
      <c r="F48">
        <v>15.7</v>
      </c>
      <c r="G48">
        <v>12.9</v>
      </c>
    </row>
    <row r="49" spans="1:7" x14ac:dyDescent="0.3">
      <c r="A49" s="1">
        <v>46196</v>
      </c>
      <c r="B49" s="2" t="s">
        <v>110</v>
      </c>
      <c r="C49">
        <v>87.8</v>
      </c>
      <c r="D49">
        <v>89.9</v>
      </c>
      <c r="E49">
        <v>21.94218</v>
      </c>
      <c r="F49">
        <v>19.600000000000001</v>
      </c>
      <c r="G49">
        <v>10.5</v>
      </c>
    </row>
    <row r="50" spans="1:7" x14ac:dyDescent="0.3">
      <c r="A50" s="1">
        <v>46196</v>
      </c>
      <c r="B50" s="2" t="s">
        <v>111</v>
      </c>
      <c r="C50">
        <v>86.9</v>
      </c>
      <c r="D50">
        <v>88.9</v>
      </c>
      <c r="E50">
        <v>20.418520000000001</v>
      </c>
      <c r="F50">
        <v>17.399999999999999</v>
      </c>
      <c r="G50">
        <v>10.199999999999999</v>
      </c>
    </row>
    <row r="51" spans="1:7" x14ac:dyDescent="0.3">
      <c r="B51" s="2"/>
      <c r="C51"/>
      <c r="D51"/>
      <c r="E51"/>
    </row>
    <row r="52" spans="1:7" x14ac:dyDescent="0.3">
      <c r="C52"/>
      <c r="D52"/>
      <c r="E52"/>
    </row>
    <row r="53" spans="1:7" x14ac:dyDescent="0.3">
      <c r="C53"/>
      <c r="D53"/>
      <c r="E53"/>
    </row>
    <row r="54" spans="1:7" x14ac:dyDescent="0.3">
      <c r="C54"/>
      <c r="D54"/>
      <c r="E54"/>
    </row>
    <row r="55" spans="1:7" x14ac:dyDescent="0.3">
      <c r="C55"/>
      <c r="D55"/>
      <c r="E55"/>
    </row>
    <row r="56" spans="1:7" x14ac:dyDescent="0.3">
      <c r="C56"/>
      <c r="D56"/>
      <c r="E56"/>
    </row>
    <row r="57" spans="1:7" x14ac:dyDescent="0.3">
      <c r="C57"/>
      <c r="D57"/>
      <c r="E57"/>
    </row>
    <row r="58" spans="1:7" x14ac:dyDescent="0.3">
      <c r="C58"/>
      <c r="D58"/>
      <c r="E58"/>
    </row>
    <row r="59" spans="1:7" x14ac:dyDescent="0.3">
      <c r="C59"/>
      <c r="D59"/>
      <c r="E59"/>
    </row>
    <row r="60" spans="1:7" x14ac:dyDescent="0.3">
      <c r="C60"/>
      <c r="D60"/>
      <c r="E60"/>
    </row>
    <row r="61" spans="1:7" x14ac:dyDescent="0.3">
      <c r="C61"/>
      <c r="D61"/>
      <c r="E61"/>
    </row>
    <row r="62" spans="1:7" x14ac:dyDescent="0.3">
      <c r="C62"/>
      <c r="D62"/>
      <c r="E62"/>
    </row>
    <row r="63" spans="1:7" x14ac:dyDescent="0.3">
      <c r="C63"/>
      <c r="D63"/>
      <c r="E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Weekly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Sutton, Paige</dc:creator>
  <cp:lastModifiedBy>Sutton, Paige</cp:lastModifiedBy>
  <dcterms:created xsi:type="dcterms:W3CDTF">2026-06-14T17:30:51Z</dcterms:created>
  <dcterms:modified xsi:type="dcterms:W3CDTF">2026-06-25T21:37:16Z</dcterms:modified>
</cp:coreProperties>
</file>